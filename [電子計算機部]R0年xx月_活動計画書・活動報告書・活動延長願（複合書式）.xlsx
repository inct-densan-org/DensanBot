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HO80\GitHub\densan-bot\"/>
    </mc:Choice>
  </mc:AlternateContent>
  <xr:revisionPtr revIDLastSave="0" documentId="13_ncr:1_{B6D372CA-AE49-4F2C-920D-1BB77FFD7434}" xr6:coauthVersionLast="47" xr6:coauthVersionMax="47" xr10:uidLastSave="{00000000-0000-0000-0000-000000000000}"/>
  <bookViews>
    <workbookView xWindow="-108" yWindow="-108" windowWidth="41496" windowHeight="17496" xr2:uid="{00000000-000D-0000-FFFF-FFFF00000000}"/>
  </bookViews>
  <sheets>
    <sheet name="活動計画書" sheetId="1" r:id="rId1"/>
    <sheet name="活動延長願" sheetId="2" r:id="rId2"/>
    <sheet name="活動報告書" sheetId="3" r:id="rId3"/>
    <sheet name="見本" sheetId="4" r:id="rId4"/>
    <sheet name="記載要項" sheetId="5" r:id="rId5"/>
  </sheets>
  <definedNames>
    <definedName name="_xlnm.Print_Area" localSheetId="0">活動計画書!$A$1:$H$38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3" l="1"/>
  <c r="E22" i="3"/>
  <c r="C22" i="3"/>
  <c r="A9" i="4"/>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J8" i="4"/>
  <c r="J9" i="4" s="1"/>
  <c r="J10" i="4" s="1"/>
  <c r="J11" i="4" s="1"/>
  <c r="J12" i="4" s="1"/>
  <c r="J13" i="4" s="1"/>
  <c r="J14" i="4" s="1"/>
  <c r="J15" i="4" s="1"/>
  <c r="J16" i="4" s="1"/>
  <c r="J17" i="4" s="1"/>
  <c r="J18" i="4" s="1"/>
  <c r="J19" i="4" s="1"/>
  <c r="J20" i="4" s="1"/>
  <c r="J21" i="4" s="1"/>
  <c r="J22" i="4" s="1"/>
  <c r="J23" i="4" s="1"/>
  <c r="J24" i="4" s="1"/>
  <c r="J25" i="4" s="1"/>
  <c r="J26" i="4" s="1"/>
  <c r="J27" i="4" s="1"/>
  <c r="J28" i="4" s="1"/>
  <c r="J29" i="4" s="1"/>
  <c r="J30" i="4" s="1"/>
  <c r="J31" i="4" s="1"/>
  <c r="J32" i="4" s="1"/>
  <c r="J33" i="4" s="1"/>
  <c r="J34" i="4" s="1"/>
  <c r="J35" i="4" s="1"/>
  <c r="J36" i="4" s="1"/>
  <c r="A8" i="4"/>
  <c r="F37" i="3"/>
  <c r="E37" i="3"/>
  <c r="C37" i="3"/>
  <c r="A37" i="3"/>
  <c r="F36" i="3"/>
  <c r="E36" i="3"/>
  <c r="C36" i="3"/>
  <c r="F35" i="3"/>
  <c r="E35" i="3"/>
  <c r="C35" i="3"/>
  <c r="F34" i="3"/>
  <c r="E34" i="3"/>
  <c r="C34" i="3"/>
  <c r="F33" i="3"/>
  <c r="E33" i="3"/>
  <c r="C33" i="3"/>
  <c r="F32" i="3"/>
  <c r="E32" i="3"/>
  <c r="C32" i="3"/>
  <c r="F31" i="3"/>
  <c r="E31" i="3"/>
  <c r="C31" i="3"/>
  <c r="F30" i="3"/>
  <c r="E30" i="3"/>
  <c r="C30" i="3"/>
  <c r="F29" i="3"/>
  <c r="E29" i="3"/>
  <c r="C29" i="3"/>
  <c r="F28" i="3"/>
  <c r="E28" i="3"/>
  <c r="C28" i="3"/>
  <c r="F27" i="3"/>
  <c r="E27" i="3"/>
  <c r="C27" i="3"/>
  <c r="F26" i="3"/>
  <c r="E26" i="3"/>
  <c r="C26" i="3"/>
  <c r="F25" i="3"/>
  <c r="E25" i="3"/>
  <c r="C25" i="3"/>
  <c r="F24" i="3"/>
  <c r="E24" i="3"/>
  <c r="C24" i="3"/>
  <c r="F23" i="3"/>
  <c r="E23" i="3"/>
  <c r="C23" i="3"/>
  <c r="F21" i="3"/>
  <c r="E21" i="3"/>
  <c r="C21" i="3"/>
  <c r="F20" i="3"/>
  <c r="E20" i="3"/>
  <c r="C20" i="3"/>
  <c r="F19" i="3"/>
  <c r="E19" i="3"/>
  <c r="C19" i="3"/>
  <c r="F18" i="3"/>
  <c r="E18" i="3"/>
  <c r="C18" i="3"/>
  <c r="F17" i="3"/>
  <c r="E17" i="3"/>
  <c r="C17" i="3"/>
  <c r="F16" i="3"/>
  <c r="E16" i="3"/>
  <c r="C16" i="3"/>
  <c r="F15" i="3"/>
  <c r="E15" i="3"/>
  <c r="C15" i="3"/>
  <c r="F14" i="3"/>
  <c r="E14" i="3"/>
  <c r="C14" i="3"/>
  <c r="F13" i="3"/>
  <c r="E13" i="3"/>
  <c r="C13" i="3"/>
  <c r="F12" i="3"/>
  <c r="E12" i="3"/>
  <c r="C12" i="3"/>
  <c r="F11" i="3"/>
  <c r="E11" i="3"/>
  <c r="C11" i="3"/>
  <c r="F10" i="3"/>
  <c r="E10" i="3"/>
  <c r="C10" i="3"/>
  <c r="F9" i="3"/>
  <c r="E9" i="3"/>
  <c r="C9" i="3"/>
  <c r="F8" i="3"/>
  <c r="E8" i="3"/>
  <c r="C8" i="3"/>
  <c r="F7" i="3"/>
  <c r="E7" i="3"/>
  <c r="C7" i="3"/>
  <c r="I3" i="3"/>
  <c r="E3" i="3"/>
  <c r="E33" i="2"/>
  <c r="C33" i="2"/>
  <c r="A33" i="2"/>
  <c r="F32" i="2"/>
  <c r="E32" i="2"/>
  <c r="C32" i="2"/>
  <c r="M31" i="2"/>
  <c r="K31" i="2"/>
  <c r="I31" i="2"/>
  <c r="G31" i="2"/>
  <c r="E31" i="2"/>
  <c r="C31" i="2"/>
  <c r="A31" i="2"/>
  <c r="H30" i="2"/>
  <c r="F30" i="2"/>
  <c r="B30" i="2"/>
  <c r="M29" i="2"/>
  <c r="K29" i="2"/>
  <c r="I29" i="2"/>
  <c r="G29" i="2"/>
  <c r="E29" i="2"/>
  <c r="C29" i="2"/>
  <c r="A29" i="2"/>
  <c r="N28" i="2"/>
  <c r="L28" i="2"/>
  <c r="D28" i="2"/>
  <c r="B28" i="2"/>
  <c r="M27" i="2"/>
  <c r="K27" i="2"/>
  <c r="I27" i="2"/>
  <c r="G27" i="2"/>
  <c r="E27" i="2"/>
  <c r="C27" i="2"/>
  <c r="A27" i="2"/>
  <c r="N26" i="2"/>
  <c r="J26" i="2"/>
  <c r="H26" i="2"/>
  <c r="M25" i="2"/>
  <c r="K25" i="2"/>
  <c r="I25" i="2"/>
  <c r="G25" i="2"/>
  <c r="E25" i="2"/>
  <c r="C25" i="2"/>
  <c r="A25" i="2"/>
  <c r="L24" i="2"/>
  <c r="J24" i="2"/>
  <c r="F24" i="2"/>
  <c r="D24" i="2"/>
  <c r="C22" i="2"/>
  <c r="A32" i="2" s="1"/>
  <c r="A22" i="2"/>
  <c r="N24" i="2" s="1"/>
  <c r="M8" i="2"/>
  <c r="M7" i="2"/>
  <c r="M4" i="2"/>
  <c r="K4" i="2"/>
  <c r="B37" i="1"/>
  <c r="B37" i="3" s="1"/>
  <c r="A37" i="1"/>
  <c r="A36" i="1"/>
  <c r="B36" i="1" s="1"/>
  <c r="B36" i="3" s="1"/>
  <c r="A35" i="1"/>
  <c r="B35" i="1" s="1"/>
  <c r="B35" i="3" s="1"/>
  <c r="B34" i="1"/>
  <c r="B34" i="3" s="1"/>
  <c r="B33" i="1"/>
  <c r="B33" i="3" s="1"/>
  <c r="B32" i="1"/>
  <c r="B32" i="3" s="1"/>
  <c r="B31" i="1"/>
  <c r="B31" i="3" s="1"/>
  <c r="B30" i="1"/>
  <c r="B30" i="3" s="1"/>
  <c r="B29" i="1"/>
  <c r="B29" i="3" s="1"/>
  <c r="B28" i="1"/>
  <c r="B28" i="3" s="1"/>
  <c r="B27" i="1"/>
  <c r="B27" i="3" s="1"/>
  <c r="B26" i="1"/>
  <c r="B26" i="3" s="1"/>
  <c r="B25" i="1"/>
  <c r="B25" i="3" s="1"/>
  <c r="B24" i="1"/>
  <c r="B24" i="3" s="1"/>
  <c r="B23" i="1"/>
  <c r="B23" i="3" s="1"/>
  <c r="B22" i="1"/>
  <c r="B22" i="3" s="1"/>
  <c r="B21" i="1"/>
  <c r="B21" i="3" s="1"/>
  <c r="B20" i="1"/>
  <c r="B20" i="3" s="1"/>
  <c r="B19" i="1"/>
  <c r="B19" i="3" s="1"/>
  <c r="B18" i="1"/>
  <c r="B18" i="3" s="1"/>
  <c r="B17" i="1"/>
  <c r="B17" i="3" s="1"/>
  <c r="B16" i="1"/>
  <c r="B16" i="3" s="1"/>
  <c r="B15" i="1"/>
  <c r="B15" i="3" s="1"/>
  <c r="B14" i="1"/>
  <c r="B14" i="3" s="1"/>
  <c r="B13" i="1"/>
  <c r="B13" i="3" s="1"/>
  <c r="B12" i="1"/>
  <c r="B12" i="3" s="1"/>
  <c r="B11" i="1"/>
  <c r="B11" i="3" s="1"/>
  <c r="B10" i="1"/>
  <c r="B10" i="3" s="1"/>
  <c r="B9" i="1"/>
  <c r="B9" i="3" s="1"/>
  <c r="B8" i="1"/>
  <c r="B8" i="3" s="1"/>
  <c r="B7" i="1"/>
  <c r="B7" i="3" s="1"/>
  <c r="E3" i="1"/>
  <c r="G1" i="1"/>
  <c r="B32" i="2" l="1"/>
  <c r="D30" i="2"/>
  <c r="D32" i="2"/>
  <c r="B26" i="2"/>
  <c r="F28" i="2"/>
  <c r="J30" i="2"/>
  <c r="D26" i="2"/>
  <c r="H28" i="2"/>
  <c r="L30" i="2"/>
  <c r="B24" i="2"/>
  <c r="F26" i="2"/>
  <c r="J28" i="2"/>
  <c r="N30" i="2"/>
  <c r="A35" i="3"/>
  <c r="H24" i="2"/>
  <c r="L26" i="2"/>
  <c r="A36" i="3"/>
</calcChain>
</file>

<file path=xl/sharedStrings.xml><?xml version="1.0" encoding="utf-8"?>
<sst xmlns="http://schemas.openxmlformats.org/spreadsheetml/2006/main" count="581" uniqueCount="191">
  <si>
    <t>月　　　日</t>
  </si>
  <si>
    <t>活動計画書</t>
  </si>
  <si>
    <t>電子計算機部</t>
  </si>
  <si>
    <t>(学生)</t>
  </si>
  <si>
    <t>(顧問)</t>
  </si>
  <si>
    <t>日付</t>
  </si>
  <si>
    <t>曜日</t>
  </si>
  <si>
    <t>活動時間</t>
  </si>
  <si>
    <t>活動場所</t>
  </si>
  <si>
    <t>活動予定</t>
  </si>
  <si>
    <t>担当教員</t>
  </si>
  <si>
    <t>－</t>
  </si>
  <si>
    <t>活動年月</t>
  </si>
  <si>
    <t>年</t>
  </si>
  <si>
    <t>月</t>
  </si>
  <si>
    <t>クラブ名</t>
  </si>
  <si>
    <t>硬式野球部</t>
  </si>
  <si>
    <t>ソフトテニス部</t>
  </si>
  <si>
    <t>陸上競技部</t>
  </si>
  <si>
    <t>バレーボール部</t>
  </si>
  <si>
    <t>バスケットボール部</t>
  </si>
  <si>
    <t>サッカー部</t>
  </si>
  <si>
    <t>卓球部</t>
  </si>
  <si>
    <t>柔道部</t>
  </si>
  <si>
    <t>剣道部</t>
  </si>
  <si>
    <t>ハンドボール部</t>
  </si>
  <si>
    <t>テニス部</t>
  </si>
  <si>
    <t>水泳部</t>
  </si>
  <si>
    <t>バドミントン部</t>
  </si>
  <si>
    <t>空手部</t>
  </si>
  <si>
    <t>写真部</t>
  </si>
  <si>
    <t>化学部</t>
  </si>
  <si>
    <t>美術部</t>
  </si>
  <si>
    <t>吹奏楽部</t>
  </si>
  <si>
    <t>軽音楽部</t>
  </si>
  <si>
    <t>茶道部</t>
  </si>
  <si>
    <t>ダンス部</t>
  </si>
  <si>
    <t>よさこい部</t>
  </si>
  <si>
    <t>自動車部</t>
  </si>
  <si>
    <t>機械技術部</t>
  </si>
  <si>
    <t xml:space="preserve">(注) この計画書は、次のことに留意して作成し、活動月の1週間前までに学生支援係に提出する。
     定められた期日までに計画書が提出されない場合は、計画月の活動は認められない。
     ①平日の活動は原則として17時まで。②土日祝日の活動時間9時から17時まで。
     ③活動場所は他の部と事前に調整する。練習試合もできるだけ事前に相手校と調整する。
     ⑤土日祝日の指導担当予定の教員名も明記する。⑥土・日のどちらかは活動をしない日とする。     </t>
  </si>
  <si>
    <t>発明同好会</t>
  </si>
  <si>
    <t>フットサル同好会</t>
  </si>
  <si>
    <t>ジャグリング同好会</t>
  </si>
  <si>
    <t>C~F列：
15:00~17:00が基本．延長は17:15~18:15の1hが可能．どれだけ入れても良い．（前期，村上は水曜日だけは延長に対応できないので，水曜日の延長が必要な場合は他の先生に相談しよう．）土日も活動が可能．Discordで会議をする場合でも教員が必要ならば一応書いておくと良い．</t>
  </si>
  <si>
    <t>F列：
「CAD室」or「コンピュータ室」or「CSラボ」がよく使われる．「FPラボ」も使えるようになった．</t>
  </si>
  <si>
    <t>G列：
イベントなどがある場合はそれを．
それ以外はグループ名を書いておけば良い．</t>
  </si>
  <si>
    <t>H列：
基本的には「村上力」を入れておけば良い．村上が対応できない場合は他の教員を入れよう．</t>
  </si>
  <si>
    <t>数理同好会</t>
  </si>
  <si>
    <t>技術総合研究同好会</t>
  </si>
  <si>
    <t>各グループリーダーへ</t>
  </si>
  <si>
    <t>応援団</t>
  </si>
  <si>
    <t>毎月最初の週はこの「活動計画書」シートに当月の予定を入力してください！</t>
  </si>
  <si>
    <t>また, 毎回活動終わりには「活動報告書」シートにやったことと人数を記入してください！</t>
  </si>
  <si>
    <t>記入してほしいもの: 活動時間, 活動場所, 活動予定 (, もし決まっていれば担当教員)</t>
  </si>
  <si>
    <t>- 活動時間は最も長いグループに合わせてください！</t>
  </si>
  <si>
    <t>- 活動場所は他の人に記入したものの後に「,」区切りで追加してください！ (CAD室で被っている等であれば2個書く必要はありません)</t>
  </si>
  <si>
    <t>- 活動予定も 「〇〇グループ(XX講座), 〇〇グループ(XX講座)」 のように追記していってください！ 〇〇グループだけでも構いません.</t>
  </si>
  <si>
    <t>学生主事</t>
  </si>
  <si>
    <t>学生課長</t>
  </si>
  <si>
    <t>課長補佐</t>
  </si>
  <si>
    <t>係長</t>
  </si>
  <si>
    <t>係員</t>
  </si>
  <si>
    <t>課外活動延長願</t>
  </si>
  <si>
    <t>学生主事 殿</t>
  </si>
  <si>
    <t>部活名：</t>
  </si>
  <si>
    <t>顧問名：</t>
  </si>
  <si>
    <t>下記の通り、課外活動時間延長の許可をお願い致します。</t>
  </si>
  <si>
    <t>　　A. 大会前の延長（17:15～18:45の1.5時間、年３回まで）</t>
  </si>
  <si>
    <t>　　B. 平日の延長（17:15～18:15の１時間）</t>
  </si>
  <si>
    <t>1.    大会前延長</t>
  </si>
  <si>
    <t>回目 （上記Aの場合）</t>
  </si>
  <si>
    <t>2.    延長の理由</t>
  </si>
  <si>
    <t>理由により（特別な理由がない場合など）延長を認めない場合があります。</t>
  </si>
  <si>
    <t>3.    延長を希望する月日と延長時間に対応する顧問名を活動計画書と一致しているか確認して下さい。</t>
  </si>
  <si>
    <t>注意（１）各部活動の全顧問の了承を得た上で活動月の１週間前までに学生支援係に提出してください。</t>
  </si>
  <si>
    <t>注意（２）17:15以降の指導を行う顧問は時間外労働命令簿を人事給与係に提出下さい。</t>
  </si>
  <si>
    <t>注意（３）延長した活動時間は片付けも含む活動終了時刻です。</t>
  </si>
  <si>
    <t>A.  大会前延長(～18:45 まで)の場合は、チェック☑を入れて下さい。</t>
  </si>
  <si>
    <t>※   大会前の延長とは、大会等の2週間以内において、年間3回まで活動の延長を許可するものです。延長時間には片付けの時間を含みます。予選、本選と大会を勝ち進んでいく場合の大会は、全て合わせて1つの大会とみなします。</t>
  </si>
  <si>
    <t>受理日 :</t>
  </si>
  <si>
    <t>令和　　　　年　　　　月　　　　日</t>
  </si>
  <si>
    <t>令和　　7　　年　　　　月　　　　日</t>
  </si>
  <si>
    <t>活動報告書</t>
  </si>
  <si>
    <t>（学生）高橋翔太</t>
  </si>
  <si>
    <t>（顧問）村上力</t>
  </si>
  <si>
    <t>参加者</t>
  </si>
  <si>
    <t>活動内容 (練習内容・試合結果・特記事項等)</t>
  </si>
  <si>
    <t>-</t>
  </si>
  <si>
    <t>人</t>
  </si>
  <si>
    <t xml:space="preserve">注) この報告書には月の活動内容を記載して、活動月翌月の10日までに学生係に提出する。
     特に、次の事柄は明記すること。なお、ボールペン等で記入する。鉛筆・シャープペンシルは不可。
     ①試合・大会等の名称と主たる成績。②上位大会への出場決定に関すること。
     ③試合の相手校。④怪我等の状況。⑤4月の入部者数、 5月以降では入部・退部者の氏名。
     ⑥土日祝日の活動では指導顧問名。⑦その他の必要事項。
      </t>
  </si>
  <si>
    <t>令和2年4月　活動報告書 高専運動部 (記入例)</t>
  </si>
  <si>
    <t>令和2年4月  活動計画書   高専運動部 (記入例)</t>
  </si>
  <si>
    <t>(学生) 高専太郎 印    (顧問) 教員太郎  印</t>
  </si>
  <si>
    <t>(金)</t>
  </si>
  <si>
    <t>---</t>
  </si>
  <si>
    <t>(土)</t>
  </si>
  <si>
    <t>(日)</t>
  </si>
  <si>
    <t>(月)</t>
  </si>
  <si>
    <t>本校野球場</t>
  </si>
  <si>
    <t>18人</t>
  </si>
  <si>
    <t>一年生が8人入部した。</t>
  </si>
  <si>
    <t>通常練習</t>
  </si>
  <si>
    <t>(火)</t>
  </si>
  <si>
    <t>〃</t>
  </si>
  <si>
    <t>20人</t>
  </si>
  <si>
    <t>5日 3C相沢が軽い捻挫</t>
  </si>
  <si>
    <t>(水)</t>
  </si>
  <si>
    <t>24人</t>
  </si>
  <si>
    <t>月－金は通常練習</t>
  </si>
  <si>
    <t>(木)</t>
  </si>
  <si>
    <t>25人</t>
  </si>
  <si>
    <t>10日（日）は紅白戦。高野連チームが勝利</t>
  </si>
  <si>
    <t>休み</t>
  </si>
  <si>
    <t>釣山球場</t>
  </si>
  <si>
    <t>休日指導者 (鈴木　　　　　　　　　　　　)</t>
  </si>
  <si>
    <t>釣山野球場</t>
  </si>
  <si>
    <t>紅白戦</t>
  </si>
  <si>
    <t>鈴木</t>
  </si>
  <si>
    <t>15人</t>
  </si>
  <si>
    <t>27人</t>
  </si>
  <si>
    <t>30人</t>
  </si>
  <si>
    <t>17日（日）は、練習試合。</t>
  </si>
  <si>
    <t>対○○高専戦　6-3 で勝利</t>
  </si>
  <si>
    <t>東台球場</t>
  </si>
  <si>
    <t>休日指導者 (斎藤　　　　　　　　　　　　)</t>
  </si>
  <si>
    <t>東台野球場</t>
  </si>
  <si>
    <t>練習試合 (○○高専)</t>
  </si>
  <si>
    <t>斎藤</t>
  </si>
  <si>
    <t>28人</t>
  </si>
  <si>
    <t>24日 (日) に○○高校と練習試合を行った。</t>
  </si>
  <si>
    <t>2-2で引き分け</t>
  </si>
  <si>
    <t>○高グランド</t>
  </si>
  <si>
    <t>休日指導者 (山田　　　　　　　　　　　　)</t>
  </si>
  <si>
    <t>○○高校グランド</t>
  </si>
  <si>
    <t>練習試合 (○○高校)</t>
  </si>
  <si>
    <t>山田</t>
  </si>
  <si>
    <t>佐藤</t>
  </si>
  <si>
    <t>休日指導者 (佐藤　　　　　　　　　　　　)</t>
  </si>
  <si>
    <t xml:space="preserve">(注) この計画書は、次のことに留意して作成し、活動月の1週間前までに学生支援係に提出する。
     定められた期日までに計画書が提出されない場合は、計画月の活動は認められない。
     ①平日の活動は原則として17時まで。②土日祝日の活動時間9時から17時まで。
     ③活動場所は他の部と事前に調整する。練習試合もできるだけ事前に相手校と調整する。
     ⑤土日祝日の指導担当予定の教員名も明記する。⑥土・日のどちらかは活動をしない日とする。   </t>
  </si>
  <si>
    <t>学生会・部・同好会代表者、各位</t>
  </si>
  <si>
    <t xml:space="preserve"> 学生主事</t>
  </si>
  <si>
    <t xml:space="preserve">                課外活動の月間計画書・月間報告書等の作成について</t>
  </si>
  <si>
    <t xml:space="preserve">  課外活動の月間計画書と月間報告書は、課外活動が学校の教育計画の下に行われていることを示す上で重要な資料となるものです。下記の事項に留意して作成し、決められた期日までに学生支援係に提出して下さい。</t>
  </si>
  <si>
    <t>[1] 課外活動の月間活動計画書の作成要領</t>
  </si>
  <si>
    <t xml:space="preserve">  (1) 翌月の活動計画を期日ごとに記載し、活動月の1週間前までに学生支援係に提出する。</t>
  </si>
  <si>
    <t xml:space="preserve">      この計画書が無いと、事故の際に災害共済給付が支給されない場合がある。</t>
  </si>
  <si>
    <t xml:space="preserve">      決められた期日までに提出されない場合は、活動予定月の活動は認められない。</t>
  </si>
  <si>
    <t xml:space="preserve">  (2) 活動時間、活動場所、そして活動内容について記載する。</t>
  </si>
  <si>
    <t xml:space="preserve">  (3) 平日の活動時間は、原則として17:00までである。</t>
  </si>
  <si>
    <t xml:space="preserve">  (4) 土日祝日の課外活動は、9:00から17:00までとし、土・日のどちらかは活動をしない日とする。</t>
  </si>
  <si>
    <t xml:space="preserve">      ・3連休以上のときは、原則として1日以上休みの日を設けて計画する。</t>
  </si>
  <si>
    <t xml:space="preserve">        土日祝日に大会が行われる場合は、この限りではない。</t>
  </si>
  <si>
    <t xml:space="preserve">      ・土日祝休日の活動は、顧問と協議して担当顧問名を記載する。</t>
  </si>
  <si>
    <t xml:space="preserve">  (5) 練習試合は、可能な限り事前に相手と期日や場所の調整をする。</t>
  </si>
  <si>
    <t xml:space="preserve">      ・計画書通りの活動なら対外試合許可願を提出する必要はない。</t>
  </si>
  <si>
    <t xml:space="preserve">        ただし、参加部員の名簿は試合前日までに学生支援係に提出する。</t>
  </si>
  <si>
    <t xml:space="preserve">  (6) 活動場所が他の部と重なるときは事前に部の間で調整しておく。</t>
  </si>
  <si>
    <t xml:space="preserve">      ・計画通りの活動なら、施設使用許可願を提出する必要はない。</t>
  </si>
  <si>
    <t xml:space="preserve">      ・計画書が提出されていても学校行事としての利用を優先する。</t>
  </si>
  <si>
    <t xml:space="preserve">        定期試験後の2週間は、追試、再試試験会場としての利用を優先する。</t>
  </si>
  <si>
    <t xml:space="preserve">      ・活動場所等の変更は、課外活動変更願と施設利用許可願を学生支援係に提出する。</t>
  </si>
  <si>
    <t xml:space="preserve">  (7) 活動内容は下記にならって記入する。</t>
  </si>
  <si>
    <t xml:space="preserve">      ・運動部の通常の練習のときは「通常練習」として記入する。</t>
  </si>
  <si>
    <t xml:space="preserve">      ・技術部、文化部、同好会では、活動内容を簡潔に表現する。</t>
  </si>
  <si>
    <t xml:space="preserve">      ・特殊な練習を予定するときは、その練習内容の概要を記載する。</t>
  </si>
  <si>
    <t xml:space="preserve">      ・大会に参加するときは、その大会名を記載する。</t>
  </si>
  <si>
    <t xml:space="preserve">      ・練習試合をするときは、その相手校の名称を記載する。</t>
  </si>
  <si>
    <t xml:space="preserve">      ・その他、必要な事項を記載する。</t>
  </si>
  <si>
    <t xml:space="preserve">  (8) 提出後の活動内容の変更は、速やかに「対外試合参加願い」
       「施設使用許可願い」等の必要な書類を学生支援係に提出する。</t>
  </si>
  <si>
    <t>[2] 課外活動の月間報告書の作成要領</t>
  </si>
  <si>
    <t xml:space="preserve">  (1) 活動内容を記載し、活動月の翌月10日までに学生支援係に提出する。学校として、</t>
  </si>
  <si>
    <t xml:space="preserve">      各クラブの活動内容を把握していることが必要なので、必ず提出すること。</t>
  </si>
  <si>
    <t xml:space="preserve">  (3) 活動内容では、次のような事項は必ず記載する。</t>
  </si>
  <si>
    <t xml:space="preserve">      ・運動部の通常の練習のときは「通常練習」として記載する。</t>
  </si>
  <si>
    <t xml:space="preserve">      ・特殊な練習や活動を行った場合は活動内容の概要を記載する。</t>
  </si>
  <si>
    <t xml:space="preserve">      ・大会に参加したときは、その大会名と主たる成績を記載する。</t>
  </si>
  <si>
    <t xml:space="preserve">      ・上位大会への出場が決まったときは、そのことも明記する。</t>
  </si>
  <si>
    <t xml:space="preserve">      ・練習試合をしたときは、その相手校の名称も記載する。</t>
  </si>
  <si>
    <t xml:space="preserve">      ・怪我人等が出た場合は、怪我の内容と学生の氏名を記載する。</t>
  </si>
  <si>
    <t xml:space="preserve">        特に、病院で治療を受けた場合は必ず記載すること。</t>
  </si>
  <si>
    <t xml:space="preserve">      ・4月は入部者数も記載する。5月以降に入部・退部があった場合は、</t>
  </si>
  <si>
    <t xml:space="preserve">        そのクラス名・学生名を記載する。</t>
  </si>
  <si>
    <t xml:space="preserve">      ・その他、必要な事項を記入する。</t>
  </si>
  <si>
    <t xml:space="preserve">  (4) 土日祝日の場合、指導・引率を担当した顧問教員名を記載する。</t>
  </si>
  <si>
    <t>[3] クラブの活動日誌の作成</t>
  </si>
  <si>
    <t xml:space="preserve">  クラブ内の活動状況について、できれば日々の活動日誌を作成してください。日々、きちんと活動していることを示す必要があるとき、そのことを裏付ける日誌があるかどうかは極めて重要な意味を持ってきます。サンプル版を見ながら、各クラブの状況に応じた様式をを考えて、是非作成するようにお願いします。記載が必要な事項は下記の事柄です。</t>
  </si>
  <si>
    <t xml:space="preserve">    活動した期日と日時、その日の天候、活動した場所、主な活動内容、参加者数、怪我等の状況、記載者名、</t>
  </si>
  <si>
    <t xml:space="preserve">    指導担当教員・コーチ名、顧問確認印等</t>
  </si>
  <si>
    <t>[4] クラブ内連絡網の作成要領</t>
  </si>
  <si>
    <t xml:space="preserve">  何らかの事故が発生したとき緊急連絡先として必要なので、4月中旬頃までに作成して学生支援係まで提出してください。提出された情報については、学校として責任をもって管理します。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</si>
</sst>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aaa"/>
  </numFmts>
  <fonts count="39">
    <font>
      <sz val="12"/>
      <color theme="1"/>
      <name val="游ゴシック"/>
      <family val="2"/>
      <charset val="128"/>
      <scheme val="minor"/>
    </font>
    <font>
      <sz val="10"/>
      <name val="ＭＳ 明朝"/>
      <family val="1"/>
      <charset val="128"/>
    </font>
    <font>
      <sz val="6"/>
      <name val="游ゴシック"/>
      <family val="2"/>
      <charset val="128"/>
      <scheme val="minor"/>
    </font>
    <font>
      <sz val="11"/>
      <name val="ＭＳ Ｐゴシック"/>
      <family val="3"/>
      <charset val="128"/>
    </font>
    <font>
      <sz val="10.5"/>
      <name val="ＭＳ 明朝"/>
      <family val="1"/>
      <charset val="128"/>
    </font>
    <font>
      <sz val="6"/>
      <name val="ＭＳ Ｐゴシック"/>
      <family val="3"/>
      <charset val="128"/>
    </font>
    <font>
      <sz val="10.5"/>
      <name val="Century"/>
      <family val="1"/>
    </font>
    <font>
      <b/>
      <sz val="12"/>
      <color rgb="FFFF0000"/>
      <name val="ＭＳ Ｐゴシック"/>
      <family val="3"/>
      <charset val="128"/>
    </font>
    <font>
      <b/>
      <sz val="14"/>
      <name val="ＭＳ ゴシック"/>
      <family val="3"/>
      <charset val="128"/>
    </font>
    <font>
      <b/>
      <sz val="18"/>
      <name val="ＭＳ ゴシック"/>
      <family val="3"/>
      <charset val="128"/>
    </font>
    <font>
      <sz val="11"/>
      <name val="ＭＳ 明朝"/>
      <family val="1"/>
      <charset val="128"/>
    </font>
    <font>
      <sz val="11"/>
      <name val="ＭＳ ゴシック"/>
      <family val="1"/>
      <charset val="128"/>
    </font>
    <font>
      <sz val="11"/>
      <name val="ＭＳ ゴシック"/>
      <family val="3"/>
      <charset val="128"/>
    </font>
    <font>
      <sz val="10.5"/>
      <name val="ＭＳ ゴシック"/>
      <family val="3"/>
      <charset val="128"/>
    </font>
    <font>
      <b/>
      <sz val="10.5"/>
      <name val="ＭＳ ゴシック"/>
      <family val="3"/>
      <charset val="128"/>
    </font>
    <font>
      <sz val="10.5"/>
      <name val="ＭＳ Ｐ明朝"/>
      <family val="1"/>
      <charset val="128"/>
    </font>
    <font>
      <b/>
      <sz val="11"/>
      <color theme="0"/>
      <name val="ＭＳ Ｐゴシック"/>
      <family val="3"/>
      <charset val="128"/>
    </font>
    <font>
      <u/>
      <sz val="10.5"/>
      <name val="Century"/>
      <family val="1"/>
    </font>
    <font>
      <sz val="8"/>
      <name val="ＭＳ 明朝"/>
      <family val="1"/>
      <charset val="128"/>
    </font>
    <font>
      <sz val="9"/>
      <name val="ＭＳ 明朝"/>
      <family val="1"/>
      <charset val="128"/>
    </font>
    <font>
      <b/>
      <sz val="11"/>
      <name val="ＭＳ Ｐゴシック"/>
      <family val="3"/>
      <charset val="128"/>
    </font>
    <font>
      <sz val="11"/>
      <color indexed="8"/>
      <name val="ＭＳ Ｐゴシック"/>
      <family val="3"/>
      <charset val="128"/>
    </font>
    <font>
      <sz val="11"/>
      <color theme="0"/>
      <name val="ＭＳ Ｐゴシック"/>
      <family val="3"/>
      <charset val="128"/>
    </font>
    <font>
      <u/>
      <sz val="14"/>
      <name val="ＭＳ ゴシック"/>
      <family val="3"/>
      <charset val="128"/>
    </font>
    <font>
      <b/>
      <u/>
      <sz val="14"/>
      <name val="ＭＳ ゴシック"/>
      <family val="3"/>
      <charset val="128"/>
    </font>
    <font>
      <b/>
      <u/>
      <sz val="6"/>
      <name val="ＭＳ ゴシック"/>
      <family val="3"/>
      <charset val="128"/>
    </font>
    <font>
      <b/>
      <u/>
      <sz val="14"/>
      <name val="ＭＳ Ｐゴシック"/>
      <family val="3"/>
      <charset val="128"/>
    </font>
    <font>
      <sz val="14"/>
      <name val="ＭＳ Ｐゴシック"/>
      <family val="3"/>
      <charset val="128"/>
    </font>
    <font>
      <sz val="9"/>
      <name val="みかちゃん"/>
      <family val="3"/>
      <charset val="128"/>
    </font>
    <font>
      <sz val="11"/>
      <name val="みかちゃん"/>
      <family val="3"/>
      <charset val="128"/>
    </font>
    <font>
      <sz val="8"/>
      <name val="みかちゃん"/>
      <family val="3"/>
      <charset val="128"/>
    </font>
    <font>
      <sz val="8"/>
      <name val="あくびん"/>
      <family val="3"/>
      <charset val="128"/>
    </font>
    <font>
      <sz val="11"/>
      <name val="あくびん"/>
      <family val="3"/>
      <charset val="128"/>
    </font>
    <font>
      <b/>
      <sz val="14"/>
      <name val="ＭＳ Ｐゴシック"/>
      <family val="3"/>
      <charset val="128"/>
    </font>
    <font>
      <sz val="11"/>
      <color rgb="FFFF0000"/>
      <name val="ＭＳ Ｐゴシック"/>
      <family val="3"/>
      <charset val="128"/>
    </font>
    <font>
      <u/>
      <sz val="12"/>
      <color theme="10"/>
      <name val="游ゴシック"/>
      <family val="2"/>
      <charset val="128"/>
      <scheme val="minor"/>
    </font>
    <font>
      <sz val="11"/>
      <color theme="1"/>
      <name val="ＭＳ Ｐゴシック"/>
      <family val="2"/>
      <charset val="128"/>
    </font>
    <font>
      <sz val="11"/>
      <color rgb="FF242424"/>
      <name val="Yu Gothic"/>
      <family val="2"/>
      <charset val="128"/>
    </font>
    <font>
      <sz val="12"/>
      <color rgb="FF000000"/>
      <name val="游ゴシック"/>
      <family val="2"/>
      <scheme val="minor"/>
    </font>
  </fonts>
  <fills count="5">
    <fill>
      <patternFill patternType="none"/>
    </fill>
    <fill>
      <patternFill patternType="gray125"/>
    </fill>
    <fill>
      <patternFill patternType="solid">
        <fgColor indexed="22"/>
        <bgColor indexed="64"/>
      </patternFill>
    </fill>
    <fill>
      <patternFill patternType="solid">
        <fgColor rgb="FFC0C0C0"/>
        <bgColor indexed="64"/>
      </patternFill>
    </fill>
    <fill>
      <patternFill patternType="solid">
        <fgColor indexed="43"/>
        <bgColor indexed="64"/>
      </patternFill>
    </fill>
  </fills>
  <borders count="20">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s>
  <cellStyleXfs count="2">
    <xf numFmtId="0" fontId="0" fillId="0" borderId="0">
      <alignment vertical="center"/>
    </xf>
    <xf numFmtId="0" fontId="35" fillId="0" borderId="0">
      <alignment vertical="center"/>
    </xf>
  </cellStyleXfs>
  <cellXfs count="205">
    <xf numFmtId="0" fontId="0" fillId="0" borderId="0" xfId="0">
      <alignment vertical="center"/>
    </xf>
    <xf numFmtId="0" fontId="0" fillId="0" borderId="0" xfId="0" applyAlignment="1" applyProtection="1">
      <alignment horizontal="right" vertical="center"/>
      <protection locked="0"/>
    </xf>
    <xf numFmtId="0" fontId="0" fillId="0" borderId="0" xfId="0" applyAlignment="1">
      <alignment horizontal="center" vertical="center"/>
    </xf>
    <xf numFmtId="0" fontId="0" fillId="0" borderId="2" xfId="0" applyBorder="1">
      <alignment vertical="center"/>
    </xf>
    <xf numFmtId="0" fontId="0" fillId="0" borderId="9" xfId="0" applyBorder="1">
      <alignment vertical="center"/>
    </xf>
    <xf numFmtId="0" fontId="7" fillId="0" borderId="0" xfId="0" applyFont="1" applyAlignment="1">
      <alignment horizontal="center" vertical="center"/>
    </xf>
    <xf numFmtId="0" fontId="6" fillId="0" borderId="0" xfId="0" applyFont="1" applyAlignment="1">
      <alignment horizontal="center" vertical="center" wrapText="1"/>
    </xf>
    <xf numFmtId="0" fontId="0" fillId="0" borderId="0" xfId="0" applyProtection="1">
      <alignment vertical="center"/>
      <protection locked="0"/>
    </xf>
    <xf numFmtId="0" fontId="8" fillId="0" borderId="0" xfId="0" applyFont="1">
      <alignment vertical="center"/>
    </xf>
    <xf numFmtId="0" fontId="4" fillId="0" borderId="0" xfId="0" applyFont="1">
      <alignment vertical="center"/>
    </xf>
    <xf numFmtId="0" fontId="3" fillId="0" borderId="0" xfId="0" applyFont="1" applyAlignment="1" applyProtection="1">
      <alignment horizontal="right" vertical="center"/>
      <protection locked="0"/>
    </xf>
    <xf numFmtId="0" fontId="0" fillId="0" borderId="12" xfId="0" applyBorder="1" applyAlignment="1" applyProtection="1">
      <alignment horizontal="right" vertical="center"/>
      <protection locked="0"/>
    </xf>
    <xf numFmtId="0" fontId="13" fillId="0" borderId="9" xfId="0" applyFont="1" applyBorder="1" applyAlignment="1">
      <alignment horizontal="left" vertical="center"/>
    </xf>
    <xf numFmtId="0" fontId="3" fillId="0" borderId="9" xfId="0" applyFont="1" applyBorder="1" applyAlignment="1" applyProtection="1">
      <alignment horizontal="right" vertical="center"/>
      <protection locked="0"/>
    </xf>
    <xf numFmtId="0" fontId="0" fillId="0" borderId="13" xfId="0" applyBorder="1">
      <alignment vertical="center"/>
    </xf>
    <xf numFmtId="0" fontId="14" fillId="0" borderId="11" xfId="0" applyFont="1" applyBorder="1" applyAlignment="1" applyProtection="1">
      <alignment horizontal="center" vertical="center"/>
      <protection locked="0"/>
    </xf>
    <xf numFmtId="0" fontId="6" fillId="0" borderId="0" xfId="0" applyFont="1" applyAlignment="1" applyProtection="1">
      <alignment vertical="center" wrapText="1"/>
      <protection locked="0"/>
    </xf>
    <xf numFmtId="0" fontId="6" fillId="0" borderId="0" xfId="0" applyFont="1" applyAlignment="1">
      <alignment vertical="center" wrapText="1"/>
    </xf>
    <xf numFmtId="0" fontId="16" fillId="0" borderId="16" xfId="0" applyFont="1" applyBorder="1">
      <alignment vertical="center"/>
    </xf>
    <xf numFmtId="0" fontId="6" fillId="0" borderId="14" xfId="0" applyFont="1" applyBorder="1" applyAlignment="1" applyProtection="1">
      <alignment vertical="center" wrapText="1"/>
      <protection locked="0"/>
    </xf>
    <xf numFmtId="0" fontId="0" fillId="0" borderId="14" xfId="0" applyBorder="1">
      <alignment vertical="center"/>
    </xf>
    <xf numFmtId="0" fontId="0" fillId="0" borderId="11" xfId="0" applyBorder="1" applyAlignment="1" applyProtection="1">
      <alignment horizontal="center" vertical="center"/>
      <protection locked="0"/>
    </xf>
    <xf numFmtId="0" fontId="0" fillId="0" borderId="0" xfId="0" applyAlignment="1">
      <alignment horizontal="right" vertical="center"/>
    </xf>
    <xf numFmtId="0" fontId="20" fillId="0" borderId="11" xfId="0" applyFont="1" applyBorder="1" applyAlignment="1" applyProtection="1">
      <alignment horizontal="center" vertical="center"/>
      <protection locked="0"/>
    </xf>
    <xf numFmtId="0" fontId="0" fillId="0" borderId="3" xfId="0" applyBorder="1" applyAlignment="1" applyProtection="1">
      <alignment horizontal="right" vertical="center"/>
      <protection locked="0"/>
    </xf>
    <xf numFmtId="176" fontId="0" fillId="0" borderId="8" xfId="0" applyNumberFormat="1" applyBorder="1" applyAlignment="1" applyProtection="1">
      <alignment horizontal="center" vertical="center"/>
      <protection locked="0"/>
    </xf>
    <xf numFmtId="0" fontId="0" fillId="0" borderId="4" xfId="0" applyBorder="1" applyAlignment="1" applyProtection="1">
      <alignment horizontal="right" vertical="center"/>
      <protection locked="0"/>
    </xf>
    <xf numFmtId="176" fontId="0" fillId="0" borderId="4" xfId="0" applyNumberFormat="1" applyBorder="1" applyAlignment="1" applyProtection="1">
      <alignment horizontal="center" vertical="center"/>
      <protection locked="0"/>
    </xf>
    <xf numFmtId="0" fontId="21" fillId="0" borderId="3" xfId="0" applyFont="1" applyBorder="1" applyAlignment="1" applyProtection="1">
      <alignment horizontal="right" vertical="center"/>
      <protection locked="0"/>
    </xf>
    <xf numFmtId="0" fontId="21" fillId="0" borderId="4" xfId="0" applyFont="1" applyBorder="1" applyAlignment="1" applyProtection="1">
      <alignment horizontal="right" vertical="center"/>
      <protection locked="0"/>
    </xf>
    <xf numFmtId="0" fontId="0" fillId="0" borderId="3" xfId="0" applyBorder="1" applyAlignment="1" applyProtection="1">
      <alignment horizontal="center" vertical="center"/>
      <protection locked="0"/>
    </xf>
    <xf numFmtId="0" fontId="18" fillId="0" borderId="0" xfId="0" applyFont="1" applyAlignment="1">
      <alignment horizontal="left" vertical="center" wrapText="1"/>
    </xf>
    <xf numFmtId="0" fontId="22" fillId="0" borderId="0" xfId="0" applyFont="1" applyAlignment="1">
      <alignment horizontal="left" vertical="center"/>
    </xf>
    <xf numFmtId="0" fontId="22" fillId="0" borderId="0" xfId="0" applyFont="1">
      <alignment vertical="center"/>
    </xf>
    <xf numFmtId="0" fontId="5" fillId="0" borderId="0" xfId="0" applyFont="1">
      <alignment vertical="center"/>
    </xf>
    <xf numFmtId="0" fontId="23" fillId="0" borderId="0" xfId="0" applyFont="1">
      <alignment vertical="center"/>
    </xf>
    <xf numFmtId="0" fontId="8" fillId="0" borderId="0" xfId="0" applyFont="1" applyAlignment="1">
      <alignment horizontal="right" vertical="center"/>
    </xf>
    <xf numFmtId="0" fontId="24" fillId="0" borderId="0" xfId="0" applyFont="1" applyAlignment="1">
      <alignment horizontal="right" vertical="center"/>
    </xf>
    <xf numFmtId="0" fontId="25" fillId="0" borderId="0" xfId="0" applyFont="1" applyAlignment="1">
      <alignment horizontal="left" vertical="center"/>
    </xf>
    <xf numFmtId="0" fontId="26" fillId="0" borderId="0" xfId="0" applyFont="1">
      <alignment vertical="center"/>
    </xf>
    <xf numFmtId="0" fontId="27" fillId="0" borderId="0" xfId="0" applyFont="1" applyAlignment="1">
      <alignment horizontal="center" vertical="center"/>
    </xf>
    <xf numFmtId="0" fontId="0" fillId="0" borderId="7" xfId="0" applyBorder="1" applyAlignment="1">
      <alignment horizontal="right"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right" vertical="center"/>
    </xf>
    <xf numFmtId="20" fontId="0" fillId="0" borderId="3" xfId="0" applyNumberFormat="1" applyBorder="1" applyAlignment="1" applyProtection="1">
      <alignment horizontal="center" vertical="center"/>
      <protection locked="0"/>
    </xf>
    <xf numFmtId="0" fontId="0" fillId="0" borderId="4" xfId="0" applyBorder="1" applyAlignment="1">
      <alignment horizontal="center" vertical="center"/>
    </xf>
    <xf numFmtId="20" fontId="0" fillId="0" borderId="4" xfId="0" applyNumberFormat="1" applyBorder="1" applyAlignment="1" applyProtection="1">
      <alignment horizontal="center" vertical="center"/>
      <protection locked="0"/>
    </xf>
    <xf numFmtId="20" fontId="0" fillId="0" borderId="7" xfId="0" applyNumberFormat="1" applyBorder="1" applyAlignment="1" applyProtection="1">
      <alignment horizontal="center" vertical="center" shrinkToFit="1"/>
      <protection locked="0"/>
    </xf>
    <xf numFmtId="0" fontId="5" fillId="0" borderId="8" xfId="0" applyFont="1" applyBorder="1" applyAlignment="1">
      <alignment horizontal="left"/>
    </xf>
    <xf numFmtId="0" fontId="0" fillId="0" borderId="17" xfId="0" applyBorder="1" applyProtection="1">
      <alignment vertical="center"/>
      <protection locked="0"/>
    </xf>
    <xf numFmtId="0" fontId="0" fillId="0" borderId="18" xfId="0" applyBorder="1" applyProtection="1">
      <alignment vertical="center"/>
      <protection locked="0"/>
    </xf>
    <xf numFmtId="0" fontId="21" fillId="0" borderId="3" xfId="0" applyFont="1" applyBorder="1" applyAlignment="1">
      <alignment horizontal="right" vertical="center"/>
    </xf>
    <xf numFmtId="0" fontId="0" fillId="0" borderId="6" xfId="0" applyBorder="1" applyProtection="1">
      <alignment vertical="center"/>
      <protection locked="0"/>
    </xf>
    <xf numFmtId="58" fontId="0" fillId="0" borderId="0" xfId="0" applyNumberFormat="1">
      <alignment vertical="center"/>
    </xf>
    <xf numFmtId="0" fontId="23" fillId="0" borderId="0" xfId="0" applyFont="1" applyAlignment="1">
      <alignment horizontal="center" vertical="center"/>
    </xf>
    <xf numFmtId="0" fontId="0" fillId="0" borderId="7" xfId="0" applyBorder="1">
      <alignment vertical="center"/>
    </xf>
    <xf numFmtId="0" fontId="28" fillId="0" borderId="2" xfId="0" applyFont="1" applyBorder="1" applyAlignment="1">
      <alignment horizontal="center" vertical="center"/>
    </xf>
    <xf numFmtId="0" fontId="29" fillId="0" borderId="1" xfId="0" applyFont="1" applyBorder="1" applyAlignment="1">
      <alignment horizontal="center" vertical="center"/>
    </xf>
    <xf numFmtId="0" fontId="28" fillId="0" borderId="1" xfId="0" applyFont="1" applyBorder="1" applyAlignment="1">
      <alignment horizontal="center" vertical="center"/>
    </xf>
    <xf numFmtId="0" fontId="28" fillId="0" borderId="6" xfId="0" applyFont="1" applyBorder="1" applyAlignment="1">
      <alignment horizontal="center" vertical="center"/>
    </xf>
    <xf numFmtId="0" fontId="30" fillId="0" borderId="2" xfId="0" applyFont="1" applyBorder="1" applyAlignment="1">
      <alignment horizontal="right" vertical="center"/>
    </xf>
    <xf numFmtId="0" fontId="29" fillId="0" borderId="18" xfId="0" applyFont="1" applyBorder="1">
      <alignment vertical="center"/>
    </xf>
    <xf numFmtId="20" fontId="31" fillId="0" borderId="3" xfId="0" quotePrefix="1" applyNumberFormat="1" applyFont="1" applyBorder="1" applyAlignment="1">
      <alignment horizontal="center" vertical="center"/>
    </xf>
    <xf numFmtId="0" fontId="31" fillId="0" borderId="8" xfId="0" quotePrefix="1" applyFont="1" applyBorder="1" applyAlignment="1">
      <alignment horizontal="center" vertical="center"/>
    </xf>
    <xf numFmtId="0" fontId="32" fillId="0" borderId="8" xfId="0" applyFont="1" applyBorder="1" applyAlignment="1">
      <alignment horizontal="center" vertical="center"/>
    </xf>
    <xf numFmtId="0" fontId="32" fillId="0" borderId="7" xfId="0" applyFont="1" applyBorder="1" applyAlignment="1">
      <alignment horizontal="center" vertical="center"/>
    </xf>
    <xf numFmtId="0" fontId="0" fillId="0" borderId="7" xfId="0" quotePrefix="1" applyBorder="1" applyAlignment="1">
      <alignment horizontal="center" vertical="center"/>
    </xf>
    <xf numFmtId="0" fontId="0" fillId="3" borderId="7" xfId="0" applyFill="1" applyBorder="1">
      <alignment vertical="center"/>
    </xf>
    <xf numFmtId="0" fontId="0" fillId="3" borderId="7" xfId="0" applyFill="1" applyBorder="1" applyAlignment="1">
      <alignment horizontal="center" vertical="center"/>
    </xf>
    <xf numFmtId="0" fontId="28" fillId="3" borderId="0" xfId="0" applyFont="1" applyFill="1" applyAlignment="1">
      <alignment horizontal="center" vertical="center"/>
    </xf>
    <xf numFmtId="0" fontId="29" fillId="3" borderId="0" xfId="0" applyFont="1" applyFill="1" applyAlignment="1">
      <alignment horizontal="center" vertical="center"/>
    </xf>
    <xf numFmtId="0" fontId="29" fillId="3" borderId="18" xfId="0" applyFont="1" applyFill="1" applyBorder="1" applyAlignment="1">
      <alignment horizontal="center" vertical="center"/>
    </xf>
    <xf numFmtId="0" fontId="30" fillId="3" borderId="3" xfId="0" applyFont="1" applyFill="1" applyBorder="1" applyAlignment="1">
      <alignment horizontal="right" vertical="center"/>
    </xf>
    <xf numFmtId="0" fontId="31" fillId="2" borderId="3" xfId="0" quotePrefix="1" applyFont="1" applyFill="1" applyBorder="1" applyAlignment="1">
      <alignment horizontal="center" vertical="center"/>
    </xf>
    <xf numFmtId="0" fontId="0" fillId="2" borderId="4" xfId="0" applyFill="1" applyBorder="1" applyAlignment="1">
      <alignment horizontal="center" vertical="center"/>
    </xf>
    <xf numFmtId="0" fontId="31" fillId="2" borderId="8" xfId="0" quotePrefix="1" applyFont="1" applyFill="1" applyBorder="1" applyAlignment="1">
      <alignment horizontal="center" vertical="center"/>
    </xf>
    <xf numFmtId="0" fontId="32" fillId="3" borderId="8" xfId="0" applyFont="1" applyFill="1" applyBorder="1" applyAlignment="1">
      <alignment horizontal="center" vertical="center"/>
    </xf>
    <xf numFmtId="0" fontId="32" fillId="3" borderId="7" xfId="0" applyFont="1" applyFill="1" applyBorder="1" applyAlignment="1">
      <alignment horizontal="center" vertical="center"/>
    </xf>
    <xf numFmtId="0" fontId="0" fillId="3" borderId="7" xfId="0" quotePrefix="1" applyFill="1" applyBorder="1" applyAlignment="1">
      <alignment horizontal="center" vertical="center"/>
    </xf>
    <xf numFmtId="0" fontId="28" fillId="3" borderId="3" xfId="0" applyFont="1" applyFill="1" applyBorder="1" applyAlignment="1">
      <alignment horizontal="center" vertical="center"/>
    </xf>
    <xf numFmtId="0" fontId="29" fillId="3" borderId="4" xfId="0" applyFont="1" applyFill="1" applyBorder="1" applyAlignment="1">
      <alignment horizontal="center" vertical="center"/>
    </xf>
    <xf numFmtId="0" fontId="28" fillId="3" borderId="4" xfId="0" applyFont="1" applyFill="1" applyBorder="1" applyAlignment="1">
      <alignment horizontal="center" vertical="center"/>
    </xf>
    <xf numFmtId="0" fontId="29" fillId="3" borderId="7" xfId="0" applyFont="1" applyFill="1" applyBorder="1" applyAlignment="1">
      <alignment horizontal="center" vertical="center"/>
    </xf>
    <xf numFmtId="0" fontId="29" fillId="0" borderId="6" xfId="0" applyFont="1" applyBorder="1">
      <alignment vertical="center"/>
    </xf>
    <xf numFmtId="20" fontId="28" fillId="0" borderId="0" xfId="0" applyNumberFormat="1" applyFont="1" applyAlignment="1">
      <alignment horizontal="center" vertical="center"/>
    </xf>
    <xf numFmtId="0" fontId="29" fillId="0" borderId="0" xfId="0" applyFont="1" applyAlignment="1">
      <alignment horizontal="center" vertical="center"/>
    </xf>
    <xf numFmtId="0" fontId="28" fillId="0" borderId="18" xfId="0" applyFont="1" applyBorder="1" applyAlignment="1">
      <alignment horizontal="center" vertical="center"/>
    </xf>
    <xf numFmtId="20" fontId="31" fillId="0" borderId="8" xfId="0" quotePrefix="1" applyNumberFormat="1" applyFont="1" applyBorder="1" applyAlignment="1">
      <alignment horizontal="center" vertical="center"/>
    </xf>
    <xf numFmtId="0" fontId="28" fillId="0" borderId="3" xfId="0" applyFont="1" applyBorder="1" applyAlignment="1">
      <alignment horizontal="center" vertical="center"/>
    </xf>
    <xf numFmtId="0" fontId="29" fillId="0" borderId="4" xfId="0" applyFont="1" applyBorder="1" applyAlignment="1">
      <alignment horizontal="center" vertical="center"/>
    </xf>
    <xf numFmtId="0" fontId="28" fillId="0" borderId="4" xfId="0" applyFont="1" applyBorder="1" applyAlignment="1">
      <alignment horizontal="center" vertical="center"/>
    </xf>
    <xf numFmtId="0" fontId="29" fillId="0" borderId="7" xfId="0" applyFont="1" applyBorder="1" applyAlignment="1">
      <alignment horizontal="center" vertical="center"/>
    </xf>
    <xf numFmtId="0" fontId="30" fillId="0" borderId="3" xfId="0" applyFont="1" applyBorder="1" applyAlignment="1">
      <alignment horizontal="right" vertical="center"/>
    </xf>
    <xf numFmtId="0" fontId="31" fillId="0" borderId="3" xfId="0" applyFont="1" applyBorder="1" applyAlignment="1">
      <alignment horizontal="center" vertical="center"/>
    </xf>
    <xf numFmtId="0" fontId="31" fillId="0" borderId="8" xfId="0" applyFont="1" applyBorder="1" applyAlignment="1">
      <alignment horizontal="center" vertical="center"/>
    </xf>
    <xf numFmtId="0" fontId="28" fillId="0" borderId="0" xfId="0" applyFont="1" applyAlignment="1">
      <alignment horizontal="center" vertical="center"/>
    </xf>
    <xf numFmtId="0" fontId="29" fillId="0" borderId="18" xfId="0" applyFont="1" applyBorder="1" applyAlignment="1">
      <alignment horizontal="center" vertical="center"/>
    </xf>
    <xf numFmtId="0" fontId="28" fillId="2" borderId="3" xfId="0" quotePrefix="1" applyFont="1" applyFill="1" applyBorder="1" applyAlignment="1">
      <alignment horizontal="center" vertical="center"/>
    </xf>
    <xf numFmtId="0" fontId="29" fillId="2" borderId="4" xfId="0" applyFont="1" applyFill="1" applyBorder="1" applyAlignment="1">
      <alignment horizontal="center" vertical="center"/>
    </xf>
    <xf numFmtId="0" fontId="28" fillId="2" borderId="4" xfId="0" applyFont="1" applyFill="1" applyBorder="1" applyAlignment="1">
      <alignment horizontal="center" vertical="center"/>
    </xf>
    <xf numFmtId="0" fontId="28" fillId="2" borderId="7" xfId="0" applyFont="1" applyFill="1" applyBorder="1" applyAlignment="1">
      <alignment horizontal="center" vertical="center"/>
    </xf>
    <xf numFmtId="0" fontId="30" fillId="2" borderId="3" xfId="0" applyFont="1" applyFill="1" applyBorder="1" applyAlignment="1">
      <alignment horizontal="right" vertical="center"/>
    </xf>
    <xf numFmtId="0" fontId="32" fillId="2" borderId="8" xfId="0" applyFont="1" applyFill="1" applyBorder="1" applyAlignment="1">
      <alignment horizontal="center" vertical="center"/>
    </xf>
    <xf numFmtId="0" fontId="32" fillId="2" borderId="7" xfId="0" applyFont="1" applyFill="1" applyBorder="1" applyAlignment="1">
      <alignment horizontal="center" vertical="center"/>
    </xf>
    <xf numFmtId="0" fontId="32" fillId="2" borderId="7" xfId="0" quotePrefix="1" applyFont="1" applyFill="1" applyBorder="1" applyAlignment="1">
      <alignment horizontal="center" vertical="center"/>
    </xf>
    <xf numFmtId="20" fontId="28" fillId="2" borderId="1" xfId="0" quotePrefix="1" applyNumberFormat="1" applyFont="1" applyFill="1" applyBorder="1" applyAlignment="1">
      <alignment horizontal="center" vertical="center"/>
    </xf>
    <xf numFmtId="0" fontId="29" fillId="2" borderId="1" xfId="0" applyFont="1" applyFill="1" applyBorder="1" applyAlignment="1">
      <alignment horizontal="center" vertical="center"/>
    </xf>
    <xf numFmtId="20" fontId="28" fillId="2" borderId="1" xfId="0" applyNumberFormat="1" applyFont="1" applyFill="1" applyBorder="1" applyAlignment="1">
      <alignment horizontal="center" vertical="center"/>
    </xf>
    <xf numFmtId="0" fontId="29" fillId="2" borderId="6" xfId="0" applyFont="1" applyFill="1" applyBorder="1" applyAlignment="1">
      <alignment horizontal="center" vertical="center"/>
    </xf>
    <xf numFmtId="20" fontId="31" fillId="2" borderId="3" xfId="0" quotePrefix="1" applyNumberFormat="1" applyFont="1" applyFill="1" applyBorder="1" applyAlignment="1">
      <alignment horizontal="center" vertical="center"/>
    </xf>
    <xf numFmtId="20" fontId="31" fillId="2" borderId="8" xfId="0" quotePrefix="1" applyNumberFormat="1" applyFont="1" applyFill="1" applyBorder="1" applyAlignment="1">
      <alignment horizontal="center" vertical="center"/>
    </xf>
    <xf numFmtId="0" fontId="28" fillId="0" borderId="7" xfId="0" applyFont="1" applyBorder="1" applyAlignment="1">
      <alignment horizontal="center" vertical="center"/>
    </xf>
    <xf numFmtId="0" fontId="0" fillId="0" borderId="18" xfId="0" applyBorder="1">
      <alignment vertical="center"/>
    </xf>
    <xf numFmtId="20" fontId="28" fillId="0" borderId="3" xfId="0" applyNumberFormat="1" applyFont="1" applyBorder="1" applyAlignment="1">
      <alignment horizontal="center" vertical="center"/>
    </xf>
    <xf numFmtId="20" fontId="28" fillId="0" borderId="4" xfId="0" applyNumberFormat="1" applyFont="1" applyBorder="1" applyAlignment="1">
      <alignment horizontal="center" vertical="center"/>
    </xf>
    <xf numFmtId="20" fontId="31" fillId="0" borderId="3" xfId="0" applyNumberFormat="1" applyFont="1" applyBorder="1" applyAlignment="1">
      <alignment horizontal="center" vertical="center"/>
    </xf>
    <xf numFmtId="20" fontId="31" fillId="0" borderId="8" xfId="0" applyNumberFormat="1" applyFont="1" applyBorder="1" applyAlignment="1">
      <alignment horizontal="center" vertical="center"/>
    </xf>
    <xf numFmtId="0" fontId="29" fillId="2" borderId="7" xfId="0" applyFont="1" applyFill="1" applyBorder="1" applyAlignment="1">
      <alignment horizontal="center" vertical="center"/>
    </xf>
    <xf numFmtId="0" fontId="28" fillId="2" borderId="6" xfId="0" applyFont="1" applyFill="1" applyBorder="1" applyAlignment="1">
      <alignment horizontal="center" vertical="center"/>
    </xf>
    <xf numFmtId="0" fontId="30" fillId="2" borderId="7" xfId="0" applyFont="1" applyFill="1" applyBorder="1" applyAlignment="1">
      <alignment horizontal="center" vertical="center"/>
    </xf>
    <xf numFmtId="0" fontId="0" fillId="0" borderId="17" xfId="0" applyBorder="1">
      <alignment vertical="center"/>
    </xf>
    <xf numFmtId="0" fontId="0" fillId="0" borderId="17" xfId="0" applyBorder="1" applyAlignment="1">
      <alignment horizontal="center" vertical="center"/>
    </xf>
    <xf numFmtId="0" fontId="30" fillId="0" borderId="12" xfId="0" applyFont="1" applyBorder="1" applyAlignment="1">
      <alignment horizontal="right" vertical="center"/>
    </xf>
    <xf numFmtId="0" fontId="30" fillId="3" borderId="7" xfId="0" applyFont="1" applyFill="1" applyBorder="1" applyAlignment="1">
      <alignment horizontal="right" vertical="center"/>
    </xf>
    <xf numFmtId="0" fontId="0" fillId="0" borderId="0" xfId="0" quotePrefix="1" applyAlignment="1">
      <alignment horizontal="center" vertical="center"/>
    </xf>
    <xf numFmtId="0" fontId="0" fillId="0" borderId="0" xfId="0" applyAlignment="1">
      <alignment vertical="center" wrapText="1"/>
    </xf>
    <xf numFmtId="0" fontId="0" fillId="0" borderId="0" xfId="0" applyAlignment="1">
      <alignment horizontal="right" vertical="center" wrapText="1"/>
    </xf>
    <xf numFmtId="0" fontId="0" fillId="0" borderId="8" xfId="0" applyBorder="1" applyAlignment="1" applyProtection="1">
      <alignment horizontal="center" vertical="center"/>
      <protection locked="0"/>
    </xf>
    <xf numFmtId="0" fontId="24" fillId="0" borderId="0" xfId="0" applyFont="1" applyAlignment="1">
      <alignment horizontal="left" vertical="center"/>
    </xf>
    <xf numFmtId="0" fontId="24" fillId="0" borderId="0" xfId="0" applyFont="1" applyAlignment="1" applyProtection="1">
      <alignment horizontal="left" vertical="center"/>
      <protection locked="0"/>
    </xf>
    <xf numFmtId="0" fontId="33" fillId="0" borderId="0" xfId="0" applyFont="1">
      <alignment vertical="center"/>
    </xf>
    <xf numFmtId="0" fontId="0" fillId="0" borderId="3" xfId="0" applyBorder="1">
      <alignment vertical="center"/>
    </xf>
    <xf numFmtId="176" fontId="0" fillId="0" borderId="7" xfId="0" applyNumberFormat="1" applyBorder="1" applyAlignment="1">
      <alignment horizontal="center" vertical="center"/>
    </xf>
    <xf numFmtId="20" fontId="0" fillId="0" borderId="8" xfId="0" applyNumberFormat="1" applyBorder="1" applyAlignment="1" applyProtection="1">
      <alignment horizontal="center" vertical="center"/>
      <protection locked="0"/>
    </xf>
    <xf numFmtId="0" fontId="0" fillId="0" borderId="7" xfId="0" applyBorder="1" applyAlignment="1" applyProtection="1">
      <alignment horizontal="center" vertical="center" shrinkToFit="1"/>
      <protection locked="0"/>
    </xf>
    <xf numFmtId="0" fontId="0" fillId="0" borderId="7" xfId="0" applyBorder="1" applyProtection="1">
      <alignment vertical="center"/>
      <protection locked="0"/>
    </xf>
    <xf numFmtId="0" fontId="0" fillId="0" borderId="7" xfId="0" quotePrefix="1" applyBorder="1" applyAlignment="1" applyProtection="1">
      <alignment horizontal="center" vertical="center"/>
      <protection locked="0"/>
    </xf>
    <xf numFmtId="0" fontId="0" fillId="4" borderId="7" xfId="0" applyFill="1" applyBorder="1" applyProtection="1">
      <alignment vertical="center"/>
      <protection locked="0"/>
    </xf>
    <xf numFmtId="0" fontId="34" fillId="0" borderId="0" xfId="0" applyFont="1">
      <alignment vertical="center"/>
    </xf>
    <xf numFmtId="0" fontId="21" fillId="0" borderId="3" xfId="0" applyFont="1" applyBorder="1">
      <alignment vertical="center"/>
    </xf>
    <xf numFmtId="176" fontId="22" fillId="0" borderId="0" xfId="0" applyNumberFormat="1" applyFont="1">
      <alignment vertical="center"/>
    </xf>
    <xf numFmtId="176" fontId="22" fillId="0" borderId="0" xfId="0" applyNumberFormat="1" applyFont="1" applyAlignment="1">
      <alignment horizontal="left" vertical="center"/>
    </xf>
    <xf numFmtId="0" fontId="0" fillId="0" borderId="1" xfId="0" applyBorder="1" applyAlignment="1" applyProtection="1">
      <alignment horizontal="right" vertical="center"/>
      <protection locked="0"/>
    </xf>
    <xf numFmtId="0" fontId="3" fillId="0" borderId="0" xfId="0" applyFont="1" applyProtection="1">
      <alignment vertical="center"/>
      <protection locked="0"/>
    </xf>
    <xf numFmtId="0" fontId="0" fillId="0" borderId="1" xfId="0" applyBorder="1" applyProtection="1">
      <alignment vertical="center"/>
      <protection locked="0"/>
    </xf>
    <xf numFmtId="0" fontId="3" fillId="0" borderId="1" xfId="0" applyFont="1" applyBorder="1">
      <alignment vertical="center"/>
    </xf>
    <xf numFmtId="0" fontId="36" fillId="0" borderId="0" xfId="0" applyFont="1">
      <alignment vertical="center"/>
    </xf>
    <xf numFmtId="0" fontId="37" fillId="0" borderId="0" xfId="0" applyFont="1">
      <alignment vertical="center"/>
    </xf>
    <xf numFmtId="0" fontId="38" fillId="0" borderId="0" xfId="0" applyFont="1">
      <alignment vertical="center"/>
    </xf>
    <xf numFmtId="0" fontId="0" fillId="0" borderId="0" xfId="0" applyAlignment="1"/>
    <xf numFmtId="0" fontId="0" fillId="0" borderId="0" xfId="0" applyAlignment="1">
      <alignment horizontal="center" vertical="center" wrapText="1"/>
    </xf>
    <xf numFmtId="0" fontId="0" fillId="0" borderId="0" xfId="0" applyAlignment="1"/>
    <xf numFmtId="0" fontId="1" fillId="0" borderId="9" xfId="0" applyFont="1" applyBorder="1" applyAlignment="1">
      <alignment horizontal="left" vertical="center" wrapText="1"/>
    </xf>
    <xf numFmtId="0" fontId="0" fillId="0" borderId="9" xfId="0" applyBorder="1" applyAlignment="1"/>
    <xf numFmtId="0" fontId="7" fillId="0" borderId="0" xfId="0" applyFont="1" applyAlignment="1">
      <alignment horizontal="center" vertical="center"/>
    </xf>
    <xf numFmtId="0" fontId="0" fillId="0" borderId="0" xfId="0">
      <alignment vertical="center"/>
    </xf>
    <xf numFmtId="0" fontId="0" fillId="0" borderId="7" xfId="0" applyBorder="1" applyAlignment="1">
      <alignment horizontal="center" vertical="center"/>
    </xf>
    <xf numFmtId="0" fontId="0" fillId="0" borderId="4" xfId="0" applyBorder="1" applyAlignment="1"/>
    <xf numFmtId="0" fontId="0" fillId="0" borderId="8" xfId="0" applyBorder="1" applyAlignment="1"/>
    <xf numFmtId="0" fontId="10" fillId="0" borderId="0" xfId="0" applyFont="1" applyAlignment="1">
      <alignment horizontal="center" vertical="center"/>
    </xf>
    <xf numFmtId="0" fontId="0" fillId="0" borderId="7" xfId="0" applyBorder="1" applyAlignment="1" applyProtection="1">
      <alignment horizontal="center" vertical="center"/>
      <protection locked="0"/>
    </xf>
    <xf numFmtId="0" fontId="0" fillId="0" borderId="8" xfId="0" applyBorder="1" applyAlignment="1" applyProtection="1">
      <protection locked="0"/>
    </xf>
    <xf numFmtId="0" fontId="15" fillId="0" borderId="15" xfId="0" applyFont="1" applyBorder="1" applyAlignment="1" applyProtection="1">
      <alignment horizontal="left" vertical="center" wrapText="1"/>
      <protection locked="0"/>
    </xf>
    <xf numFmtId="0" fontId="0" fillId="0" borderId="0" xfId="0" applyAlignment="1" applyProtection="1">
      <protection locked="0"/>
    </xf>
    <xf numFmtId="0" fontId="6" fillId="0" borderId="6" xfId="0" applyFont="1" applyBorder="1" applyAlignment="1">
      <alignment horizontal="center" vertical="center" wrapText="1"/>
    </xf>
    <xf numFmtId="0" fontId="0" fillId="0" borderId="5" xfId="0" applyBorder="1" applyAlignment="1"/>
    <xf numFmtId="0" fontId="0" fillId="0" borderId="1" xfId="0" applyBorder="1" applyAlignment="1" applyProtection="1">
      <alignment horizontal="center" vertical="center"/>
      <protection locked="0"/>
    </xf>
    <xf numFmtId="0" fontId="0" fillId="0" borderId="1" xfId="0" applyBorder="1" applyAlignment="1" applyProtection="1">
      <protection locked="0"/>
    </xf>
    <xf numFmtId="0" fontId="6" fillId="0" borderId="5" xfId="0" applyFont="1" applyBorder="1" applyAlignment="1">
      <alignment horizontal="center" vertical="center" wrapText="1"/>
    </xf>
    <xf numFmtId="0" fontId="0" fillId="0" borderId="6" xfId="0" applyBorder="1" applyAlignment="1" applyProtection="1">
      <alignment horizontal="center" vertical="center"/>
      <protection locked="0"/>
    </xf>
    <xf numFmtId="0" fontId="0" fillId="0" borderId="5" xfId="0" applyBorder="1" applyAlignment="1" applyProtection="1">
      <protection locked="0"/>
    </xf>
    <xf numFmtId="0" fontId="0" fillId="0" borderId="18" xfId="0" applyBorder="1" applyAlignment="1" applyProtection="1">
      <alignment horizontal="center" vertical="center"/>
      <protection locked="0"/>
    </xf>
    <xf numFmtId="0" fontId="0" fillId="0" borderId="16" xfId="0" applyBorder="1" applyAlignment="1" applyProtection="1">
      <protection locked="0"/>
    </xf>
    <xf numFmtId="0" fontId="0" fillId="0" borderId="0" xfId="0" applyAlignment="1" applyProtection="1">
      <alignment horizontal="center" vertical="center"/>
      <protection locked="0"/>
    </xf>
    <xf numFmtId="0" fontId="11" fillId="0" borderId="0" xfId="0" applyFont="1" applyAlignment="1">
      <alignment horizontal="left" vertical="center"/>
    </xf>
    <xf numFmtId="0" fontId="19" fillId="0" borderId="5" xfId="0" applyFont="1" applyBorder="1" applyAlignment="1">
      <alignment horizontal="left" vertical="center" wrapText="1"/>
    </xf>
    <xf numFmtId="0" fontId="0" fillId="0" borderId="1" xfId="0" applyBorder="1" applyAlignment="1"/>
    <xf numFmtId="0" fontId="4" fillId="0" borderId="0" xfId="0" applyFont="1" applyAlignment="1">
      <alignment horizontal="center" vertical="center"/>
    </xf>
    <xf numFmtId="0" fontId="4" fillId="0" borderId="3" xfId="0" applyFont="1" applyBorder="1" applyAlignment="1">
      <alignment horizontal="center" vertical="center" wrapText="1"/>
    </xf>
    <xf numFmtId="0" fontId="18" fillId="0" borderId="18" xfId="0" applyFont="1" applyBorder="1" applyAlignment="1">
      <alignment horizontal="center" vertical="center"/>
    </xf>
    <xf numFmtId="0" fontId="0" fillId="0" borderId="16" xfId="0" applyBorder="1" applyAlignment="1"/>
    <xf numFmtId="0" fontId="4" fillId="0" borderId="8" xfId="0" applyFont="1" applyBorder="1" applyAlignment="1">
      <alignment horizontal="center" vertical="center" wrapText="1"/>
    </xf>
    <xf numFmtId="0" fontId="18" fillId="0" borderId="0" xfId="0" applyFont="1" applyAlignment="1" applyProtection="1">
      <alignment horizontal="left" vertical="center" wrapText="1"/>
      <protection locked="0"/>
    </xf>
    <xf numFmtId="0" fontId="0" fillId="0" borderId="5" xfId="0" applyBorder="1" applyAlignment="1" applyProtection="1">
      <alignment horizontal="center" vertical="center"/>
      <protection locked="0"/>
    </xf>
    <xf numFmtId="0" fontId="12" fillId="0" borderId="0" xfId="0" applyFont="1" applyAlignment="1">
      <alignment horizontal="left" vertical="center"/>
    </xf>
    <xf numFmtId="0" fontId="6" fillId="0" borderId="1" xfId="0" applyFont="1" applyBorder="1" applyAlignment="1" applyProtection="1">
      <alignment horizontal="center" vertical="center" wrapText="1"/>
      <protection locked="0"/>
    </xf>
    <xf numFmtId="0" fontId="6" fillId="0" borderId="19" xfId="0" applyFont="1" applyBorder="1" applyAlignment="1" applyProtection="1">
      <alignment horizontal="left" vertical="center" wrapText="1"/>
      <protection locked="0"/>
    </xf>
    <xf numFmtId="0" fontId="0" fillId="0" borderId="10" xfId="0" applyBorder="1" applyAlignment="1" applyProtection="1">
      <protection locked="0"/>
    </xf>
    <xf numFmtId="0" fontId="6" fillId="0" borderId="2" xfId="0" applyFont="1" applyBorder="1" applyAlignment="1">
      <alignment horizontal="center" vertical="center" wrapText="1"/>
    </xf>
    <xf numFmtId="0" fontId="0" fillId="0" borderId="0" xfId="0" applyAlignment="1">
      <alignment horizontal="right" vertical="center"/>
    </xf>
    <xf numFmtId="0" fontId="19" fillId="0" borderId="16" xfId="0" applyFont="1" applyBorder="1" applyAlignment="1">
      <alignment horizontal="left" vertical="center" wrapText="1"/>
    </xf>
    <xf numFmtId="0" fontId="6" fillId="0" borderId="14" xfId="0" applyFont="1" applyBorder="1" applyAlignment="1" applyProtection="1">
      <alignment horizontal="left" vertical="center" wrapText="1"/>
      <protection locked="0"/>
    </xf>
    <xf numFmtId="0" fontId="0" fillId="0" borderId="16" xfId="0" applyBorder="1" applyAlignment="1" applyProtection="1">
      <alignment horizontal="center" vertical="center"/>
      <protection locked="0"/>
    </xf>
    <xf numFmtId="0" fontId="9" fillId="0" borderId="0" xfId="0" applyFont="1" applyAlignment="1">
      <alignment horizontal="center" vertical="center"/>
    </xf>
    <xf numFmtId="0" fontId="6" fillId="0" borderId="18" xfId="0" applyFont="1" applyBorder="1" applyAlignment="1">
      <alignment horizontal="left" vertical="center" wrapText="1"/>
    </xf>
    <xf numFmtId="0" fontId="19" fillId="0" borderId="0" xfId="0" applyFont="1" applyAlignment="1">
      <alignment horizontal="justify" vertical="center" wrapText="1"/>
    </xf>
    <xf numFmtId="0" fontId="17" fillId="0" borderId="1" xfId="0" applyFont="1" applyBorder="1" applyAlignment="1" applyProtection="1">
      <alignment horizontal="center" vertical="center" wrapText="1"/>
      <protection locked="0"/>
    </xf>
    <xf numFmtId="0" fontId="4" fillId="0" borderId="7" xfId="0" applyFont="1" applyBorder="1" applyAlignment="1">
      <alignment horizontal="center" vertical="center" wrapText="1"/>
    </xf>
    <xf numFmtId="0" fontId="0" fillId="0" borderId="0" xfId="0" applyAlignment="1" applyProtection="1">
      <alignment horizontal="right" vertical="center"/>
      <protection locked="0"/>
    </xf>
    <xf numFmtId="0" fontId="1" fillId="0" borderId="0" xfId="0" applyFont="1" applyAlignment="1">
      <alignment horizontal="left" vertical="center" wrapText="1"/>
    </xf>
    <xf numFmtId="0" fontId="5" fillId="0" borderId="0" xfId="0" applyFont="1">
      <alignment vertical="center"/>
    </xf>
    <xf numFmtId="58" fontId="0" fillId="0" borderId="0" xfId="0" applyNumberFormat="1" applyAlignment="1">
      <alignment horizontal="right" vertical="center"/>
    </xf>
    <xf numFmtId="0" fontId="0" fillId="0" borderId="3" xfId="0" applyBorder="1" applyAlignment="1">
      <alignment horizontal="center" vertical="center"/>
    </xf>
  </cellXfs>
  <cellStyles count="2">
    <cellStyle name="Hyperlink" xfId="1" xr:uid="{00000000-0005-0000-0000-000001000000}"/>
    <cellStyle name="標準" xfId="0" builtinId="0"/>
  </cellStyles>
  <dxfs count="42">
    <dxf>
      <fill>
        <patternFill>
          <bgColor indexed="65"/>
        </patternFill>
      </fill>
      <border>
        <bottom style="thin">
          <color indexed="64"/>
        </bottom>
      </border>
    </dxf>
    <dxf>
      <fill>
        <patternFill patternType="gray125"/>
      </fill>
      <border>
        <bottom style="thin">
          <color indexed="64"/>
        </bottom>
      </border>
    </dxf>
    <dxf>
      <fill>
        <patternFill>
          <bgColor indexed="65"/>
        </patternFill>
      </fill>
      <border>
        <bottom style="thin">
          <color indexed="64"/>
        </bottom>
      </border>
    </dxf>
    <dxf>
      <border>
        <bottom style="thin">
          <color indexed="64"/>
        </bottom>
      </border>
    </dxf>
    <dxf>
      <fill>
        <patternFill patternType="gray125"/>
      </fill>
    </dxf>
    <dxf>
      <fill>
        <patternFill>
          <bgColor indexed="22"/>
        </patternFill>
      </fill>
    </dxf>
    <dxf>
      <fill>
        <patternFill>
          <bgColor indexed="22"/>
        </patternFill>
      </fill>
    </dxf>
    <dxf>
      <fill>
        <patternFill>
          <bgColor indexed="22"/>
        </patternFill>
      </fill>
    </dxf>
    <dxf>
      <fill>
        <patternFill>
          <bgColor indexed="22"/>
        </patternFill>
      </fill>
      <border>
        <bottom style="thin">
          <color indexed="64"/>
        </bottom>
      </border>
    </dxf>
    <dxf>
      <fill>
        <patternFill>
          <bgColor indexed="22"/>
        </patternFill>
      </fill>
    </dxf>
    <dxf>
      <fill>
        <patternFill>
          <bgColor indexed="22"/>
        </patternFill>
      </fill>
      <border>
        <bottom style="thin">
          <color indexed="64"/>
        </bottom>
      </border>
    </dxf>
    <dxf>
      <fill>
        <patternFill>
          <bgColor indexed="22"/>
        </patternFill>
      </fill>
    </dxf>
    <dxf>
      <fill>
        <patternFill>
          <bgColor indexed="22"/>
        </patternFill>
      </fill>
      <border>
        <bottom style="thin">
          <color indexed="64"/>
        </bottom>
      </border>
    </dxf>
    <dxf>
      <fill>
        <patternFill>
          <bgColor indexed="22"/>
        </patternFill>
      </fill>
    </dxf>
    <dxf>
      <fill>
        <patternFill>
          <bgColor indexed="22"/>
        </patternFill>
      </fill>
      <border>
        <bottom style="thin">
          <color indexed="64"/>
        </bottom>
      </border>
    </dxf>
    <dxf>
      <fill>
        <patternFill>
          <bgColor indexed="22"/>
        </patternFill>
      </fill>
    </dxf>
    <dxf>
      <fill>
        <patternFill>
          <bgColor indexed="22"/>
        </patternFill>
      </fill>
    </dxf>
    <dxf>
      <fill>
        <patternFill>
          <bgColor indexed="22"/>
        </patternFill>
      </fill>
      <border>
        <bottom style="thin">
          <color indexed="64"/>
        </bottom>
      </border>
    </dxf>
    <dxf>
      <fill>
        <patternFill>
          <bgColor indexed="22"/>
        </patternFill>
      </fill>
    </dxf>
    <dxf>
      <fill>
        <patternFill patternType="gray125"/>
      </fill>
    </dxf>
    <dxf>
      <fill>
        <patternFill>
          <bgColor indexed="65"/>
        </patternFill>
      </fill>
      <border>
        <bottom style="thin">
          <color indexed="64"/>
        </bottom>
      </border>
    </dxf>
    <dxf>
      <fill>
        <patternFill>
          <bgColor theme="0" tint="-0.24994659260841701"/>
        </patternFill>
      </fill>
    </dxf>
    <dxf>
      <fill>
        <patternFill>
          <bgColor theme="0" tint="-0.24994659260841701"/>
        </patternFill>
      </fill>
    </dxf>
    <dxf>
      <fill>
        <patternFill>
          <bgColor indexed="22"/>
        </patternFill>
      </fill>
      <border>
        <bottom style="thin">
          <color indexed="64"/>
        </bottom>
      </border>
    </dxf>
    <dxf>
      <fill>
        <patternFill>
          <bgColor indexed="22"/>
        </patternFill>
      </fill>
    </dxf>
    <dxf>
      <fill>
        <patternFill patternType="gray125"/>
      </fill>
    </dxf>
    <dxf>
      <fill>
        <patternFill>
          <bgColor indexed="22"/>
        </patternFill>
      </fill>
      <border>
        <bottom style="thin">
          <color indexed="64"/>
        </bottom>
      </border>
    </dxf>
    <dxf>
      <fill>
        <patternFill>
          <bgColor indexed="22"/>
        </patternFill>
      </fill>
    </dxf>
    <dxf>
      <fill>
        <patternFill>
          <bgColor indexed="22"/>
        </patternFill>
      </fill>
      <border>
        <bottom style="thin">
          <color indexed="64"/>
        </bottom>
      </border>
    </dxf>
    <dxf>
      <fill>
        <patternFill>
          <bgColor indexed="22"/>
        </patternFill>
      </fill>
    </dxf>
    <dxf>
      <fill>
        <patternFill>
          <bgColor indexed="22"/>
        </patternFill>
      </fill>
      <border>
        <bottom style="thin">
          <color indexed="64"/>
        </bottom>
      </border>
    </dxf>
    <dxf>
      <fill>
        <patternFill>
          <bgColor indexed="22"/>
        </patternFill>
      </fill>
    </dxf>
    <dxf>
      <fill>
        <patternFill>
          <bgColor indexed="22"/>
        </patternFill>
      </fill>
      <border>
        <bottom style="thin">
          <color indexed="64"/>
        </bottom>
      </border>
    </dxf>
    <dxf>
      <fill>
        <patternFill>
          <bgColor indexed="22"/>
        </patternFill>
      </fill>
    </dxf>
    <dxf>
      <fill>
        <patternFill>
          <bgColor indexed="22"/>
        </patternFill>
      </fill>
      <border>
        <bottom style="thin">
          <color indexed="64"/>
        </bottom>
      </border>
    </dxf>
    <dxf>
      <fill>
        <patternFill>
          <bgColor indexed="22"/>
        </patternFill>
      </fill>
    </dxf>
    <dxf>
      <fill>
        <patternFill>
          <bgColor indexed="22"/>
        </patternFill>
      </fill>
      <border>
        <bottom style="thin">
          <color indexed="64"/>
        </bottom>
      </border>
    </dxf>
    <dxf>
      <fill>
        <patternFill>
          <bgColor indexed="22"/>
        </patternFill>
      </fill>
    </dxf>
    <dxf>
      <fill>
        <patternFill>
          <bgColor indexed="22"/>
        </patternFill>
      </fill>
    </dxf>
    <dxf>
      <fill>
        <patternFill>
          <bgColor indexed="22"/>
        </patternFill>
      </fill>
      <border>
        <bottom style="thin">
          <color indexed="64"/>
        </bottom>
      </border>
    </dxf>
    <dxf>
      <fill>
        <patternFill>
          <bgColor indexed="22"/>
        </patternFill>
      </fill>
    </dxf>
    <dxf>
      <fill>
        <patternFill patternType="gray125"/>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2"/>
  <sheetViews>
    <sheetView tabSelected="1" workbookViewId="0">
      <selection activeCell="I24" sqref="I24"/>
    </sheetView>
  </sheetViews>
  <sheetFormatPr defaultColWidth="11.54296875" defaultRowHeight="19.8"/>
  <cols>
    <col min="3" max="3" width="8.08984375" style="151" customWidth="1"/>
    <col min="4" max="4" width="3.90625" style="151" customWidth="1"/>
    <col min="5" max="5" width="8.90625" style="151" customWidth="1"/>
    <col min="7" max="7" width="21.90625" style="151" customWidth="1"/>
  </cols>
  <sheetData>
    <row r="1" spans="1:11">
      <c r="A1" s="7"/>
      <c r="B1" s="145"/>
      <c r="C1" s="145"/>
      <c r="D1" s="145"/>
      <c r="E1" s="145"/>
      <c r="F1" s="145"/>
      <c r="G1" s="145" t="str">
        <f>"令和"&amp;J9-2018&amp;"年"</f>
        <v>令和7年</v>
      </c>
      <c r="H1" s="145" t="s">
        <v>0</v>
      </c>
    </row>
    <row r="3" spans="1:11">
      <c r="B3" s="35"/>
      <c r="E3" s="36" t="str">
        <f>"令和"&amp;J9-2018&amp;"年 "&amp;J10&amp;"月"</f>
        <v>令和7年 4月</v>
      </c>
      <c r="F3" s="130" t="s">
        <v>1</v>
      </c>
      <c r="G3" s="131" t="s">
        <v>2</v>
      </c>
      <c r="H3" s="132"/>
    </row>
    <row r="5" spans="1:11">
      <c r="A5" s="146"/>
      <c r="B5" s="146"/>
      <c r="C5" s="146"/>
      <c r="D5" s="146"/>
      <c r="E5" s="144" t="s">
        <v>3</v>
      </c>
      <c r="F5" s="146"/>
      <c r="G5" s="144" t="s">
        <v>4</v>
      </c>
      <c r="H5" s="146"/>
    </row>
    <row r="6" spans="1:11">
      <c r="A6" s="43" t="s">
        <v>5</v>
      </c>
      <c r="B6" s="43" t="s">
        <v>6</v>
      </c>
      <c r="C6" s="158" t="s">
        <v>7</v>
      </c>
      <c r="D6" s="159"/>
      <c r="E6" s="160"/>
      <c r="F6" s="44" t="s">
        <v>8</v>
      </c>
      <c r="G6" s="42" t="s">
        <v>9</v>
      </c>
      <c r="H6" s="42" t="s">
        <v>10</v>
      </c>
    </row>
    <row r="7" spans="1:11">
      <c r="A7" s="133">
        <v>1</v>
      </c>
      <c r="B7" s="134" t="str">
        <f t="shared" ref="B7:B34" si="0">"("&amp;TEXT(DATE($J$9,$J$10,A7),"aaa")&amp;")"</f>
        <v>(火)</v>
      </c>
      <c r="C7" s="46">
        <v>0.625</v>
      </c>
      <c r="D7" s="47" t="s">
        <v>11</v>
      </c>
      <c r="E7" s="135">
        <v>0.70833333333333337</v>
      </c>
      <c r="F7" s="136"/>
      <c r="G7" s="137"/>
      <c r="H7" s="138"/>
    </row>
    <row r="8" spans="1:11">
      <c r="A8" s="133">
        <v>2</v>
      </c>
      <c r="B8" s="134" t="str">
        <f t="shared" si="0"/>
        <v>(水)</v>
      </c>
      <c r="C8" s="30"/>
      <c r="D8" s="47" t="s">
        <v>11</v>
      </c>
      <c r="E8" s="129"/>
      <c r="F8" s="136"/>
      <c r="G8" s="137"/>
      <c r="H8" s="138"/>
      <c r="J8" s="156" t="s">
        <v>12</v>
      </c>
      <c r="K8" s="157"/>
    </row>
    <row r="9" spans="1:11">
      <c r="A9" s="133">
        <v>3</v>
      </c>
      <c r="B9" s="134" t="str">
        <f t="shared" si="0"/>
        <v>(木)</v>
      </c>
      <c r="C9" s="30"/>
      <c r="D9" s="47" t="s">
        <v>11</v>
      </c>
      <c r="E9" s="129"/>
      <c r="F9" s="136"/>
      <c r="G9" s="137"/>
      <c r="H9" s="138"/>
      <c r="J9" s="139">
        <v>2025</v>
      </c>
      <c r="K9" s="140" t="s">
        <v>13</v>
      </c>
    </row>
    <row r="10" spans="1:11">
      <c r="A10" s="133">
        <v>4</v>
      </c>
      <c r="B10" s="134" t="str">
        <f t="shared" si="0"/>
        <v>(金)</v>
      </c>
      <c r="C10" s="46"/>
      <c r="D10" s="47" t="s">
        <v>11</v>
      </c>
      <c r="E10" s="135"/>
      <c r="F10" s="136"/>
      <c r="G10" s="137"/>
      <c r="H10" s="138"/>
      <c r="J10" s="139">
        <v>4</v>
      </c>
      <c r="K10" s="140" t="s">
        <v>14</v>
      </c>
    </row>
    <row r="11" spans="1:11">
      <c r="A11" s="133">
        <v>5</v>
      </c>
      <c r="B11" s="134" t="str">
        <f t="shared" si="0"/>
        <v>(土)</v>
      </c>
      <c r="C11" s="46"/>
      <c r="D11" s="47" t="s">
        <v>11</v>
      </c>
      <c r="E11" s="129"/>
      <c r="F11" s="136"/>
      <c r="G11" s="137"/>
      <c r="H11" s="138"/>
    </row>
    <row r="12" spans="1:11">
      <c r="A12" s="141">
        <v>6</v>
      </c>
      <c r="B12" s="134" t="str">
        <f t="shared" si="0"/>
        <v>(日)</v>
      </c>
      <c r="C12" s="46"/>
      <c r="D12" s="47" t="s">
        <v>11</v>
      </c>
      <c r="E12" s="135"/>
      <c r="F12" s="136"/>
      <c r="G12" s="137"/>
      <c r="H12" s="137"/>
      <c r="J12" s="142" t="s">
        <v>15</v>
      </c>
      <c r="K12" s="33"/>
    </row>
    <row r="13" spans="1:11">
      <c r="A13" s="141">
        <v>7</v>
      </c>
      <c r="B13" s="134" t="str">
        <f t="shared" si="0"/>
        <v>(月)</v>
      </c>
      <c r="C13" s="30"/>
      <c r="D13" s="47" t="s">
        <v>11</v>
      </c>
      <c r="E13" s="129"/>
      <c r="F13" s="136"/>
      <c r="G13" s="137"/>
      <c r="H13" s="137"/>
      <c r="J13" s="32" t="s">
        <v>16</v>
      </c>
      <c r="K13" s="33"/>
    </row>
    <row r="14" spans="1:11">
      <c r="A14" s="133">
        <v>8</v>
      </c>
      <c r="B14" s="134" t="str">
        <f t="shared" si="0"/>
        <v>(火)</v>
      </c>
      <c r="C14" s="30"/>
      <c r="D14" s="47" t="s">
        <v>11</v>
      </c>
      <c r="E14" s="129"/>
      <c r="F14" s="136"/>
      <c r="G14" s="137"/>
      <c r="H14" s="138"/>
      <c r="J14" s="143" t="s">
        <v>17</v>
      </c>
      <c r="K14" s="33"/>
    </row>
    <row r="15" spans="1:11">
      <c r="A15" s="133">
        <v>9</v>
      </c>
      <c r="B15" s="134" t="str">
        <f t="shared" si="0"/>
        <v>(水)</v>
      </c>
      <c r="C15" s="30"/>
      <c r="D15" s="47" t="s">
        <v>11</v>
      </c>
      <c r="E15" s="129"/>
      <c r="F15" s="136"/>
      <c r="G15" s="137"/>
      <c r="H15" s="138"/>
      <c r="J15" s="32" t="s">
        <v>18</v>
      </c>
      <c r="K15" s="33"/>
    </row>
    <row r="16" spans="1:11">
      <c r="A16" s="133">
        <v>10</v>
      </c>
      <c r="B16" s="134" t="str">
        <f t="shared" si="0"/>
        <v>(木)</v>
      </c>
      <c r="C16" s="30"/>
      <c r="D16" s="47" t="s">
        <v>11</v>
      </c>
      <c r="E16" s="129"/>
      <c r="F16" s="136"/>
      <c r="G16" s="137"/>
      <c r="H16" s="138"/>
      <c r="J16" s="32" t="s">
        <v>19</v>
      </c>
      <c r="K16" s="33"/>
    </row>
    <row r="17" spans="1:11">
      <c r="A17" s="133">
        <v>11</v>
      </c>
      <c r="B17" s="134" t="str">
        <f t="shared" si="0"/>
        <v>(金)</v>
      </c>
      <c r="C17" s="30"/>
      <c r="D17" s="47" t="s">
        <v>11</v>
      </c>
      <c r="E17" s="129"/>
      <c r="F17" s="136"/>
      <c r="G17" s="137"/>
      <c r="H17" s="138"/>
      <c r="J17" s="32" t="s">
        <v>20</v>
      </c>
      <c r="K17" s="33"/>
    </row>
    <row r="18" spans="1:11">
      <c r="A18" s="133">
        <v>12</v>
      </c>
      <c r="B18" s="134" t="str">
        <f t="shared" si="0"/>
        <v>(土)</v>
      </c>
      <c r="C18" s="30"/>
      <c r="D18" s="47" t="s">
        <v>11</v>
      </c>
      <c r="E18" s="129"/>
      <c r="F18" s="136"/>
      <c r="G18" s="137"/>
      <c r="H18" s="138"/>
      <c r="J18" s="32" t="s">
        <v>21</v>
      </c>
      <c r="K18" s="33"/>
    </row>
    <row r="19" spans="1:11">
      <c r="A19" s="133">
        <v>13</v>
      </c>
      <c r="B19" s="134" t="str">
        <f t="shared" si="0"/>
        <v>(日)</v>
      </c>
      <c r="C19" s="46"/>
      <c r="D19" s="47" t="s">
        <v>11</v>
      </c>
      <c r="E19" s="135"/>
      <c r="F19" s="136"/>
      <c r="G19" s="137"/>
      <c r="H19" s="137"/>
      <c r="J19" s="32" t="s">
        <v>22</v>
      </c>
      <c r="K19" s="33"/>
    </row>
    <row r="20" spans="1:11">
      <c r="A20" s="133">
        <v>14</v>
      </c>
      <c r="B20" s="134" t="str">
        <f t="shared" si="0"/>
        <v>(月)</v>
      </c>
      <c r="C20" s="46"/>
      <c r="D20" s="47" t="s">
        <v>11</v>
      </c>
      <c r="E20" s="135"/>
      <c r="F20" s="136"/>
      <c r="G20" s="137"/>
      <c r="H20" s="137"/>
      <c r="J20" s="32" t="s">
        <v>23</v>
      </c>
      <c r="K20" s="33"/>
    </row>
    <row r="21" spans="1:11">
      <c r="A21" s="133">
        <v>15</v>
      </c>
      <c r="B21" s="134" t="str">
        <f t="shared" si="0"/>
        <v>(火)</v>
      </c>
      <c r="C21" s="46"/>
      <c r="D21" s="47" t="s">
        <v>11</v>
      </c>
      <c r="E21" s="135"/>
      <c r="F21" s="136"/>
      <c r="G21" s="137"/>
      <c r="H21" s="138"/>
      <c r="J21" s="32" t="s">
        <v>24</v>
      </c>
      <c r="K21" s="33"/>
    </row>
    <row r="22" spans="1:11">
      <c r="A22" s="133">
        <v>16</v>
      </c>
      <c r="B22" s="134" t="str">
        <f t="shared" si="0"/>
        <v>(水)</v>
      </c>
      <c r="C22" s="30"/>
      <c r="D22" s="47" t="s">
        <v>11</v>
      </c>
      <c r="E22" s="129"/>
      <c r="F22" s="136"/>
      <c r="G22" s="137"/>
      <c r="H22" s="138"/>
      <c r="J22" s="32" t="s">
        <v>25</v>
      </c>
      <c r="K22" s="33"/>
    </row>
    <row r="23" spans="1:11">
      <c r="A23" s="133">
        <v>17</v>
      </c>
      <c r="B23" s="134" t="str">
        <f t="shared" si="0"/>
        <v>(木)</v>
      </c>
      <c r="C23" s="30"/>
      <c r="D23" s="47" t="s">
        <v>11</v>
      </c>
      <c r="E23" s="129"/>
      <c r="F23" s="136"/>
      <c r="G23" s="137"/>
      <c r="H23" s="138"/>
      <c r="J23" s="32" t="s">
        <v>26</v>
      </c>
      <c r="K23" s="33"/>
    </row>
    <row r="24" spans="1:11">
      <c r="A24" s="133">
        <v>18</v>
      </c>
      <c r="B24" s="134" t="str">
        <f t="shared" si="0"/>
        <v>(金)</v>
      </c>
      <c r="C24" s="30"/>
      <c r="D24" s="47" t="s">
        <v>11</v>
      </c>
      <c r="E24" s="129"/>
      <c r="F24" s="136"/>
      <c r="G24" s="137"/>
      <c r="H24" s="138"/>
      <c r="J24" s="32" t="s">
        <v>27</v>
      </c>
      <c r="K24" s="33"/>
    </row>
    <row r="25" spans="1:11">
      <c r="A25" s="133">
        <v>19</v>
      </c>
      <c r="B25" s="134" t="str">
        <f t="shared" si="0"/>
        <v>(土)</v>
      </c>
      <c r="C25" s="30"/>
      <c r="D25" s="47" t="s">
        <v>11</v>
      </c>
      <c r="E25" s="129"/>
      <c r="F25" s="136"/>
      <c r="G25" s="137"/>
      <c r="H25" s="138"/>
      <c r="J25" s="32" t="s">
        <v>28</v>
      </c>
      <c r="K25" s="33"/>
    </row>
    <row r="26" spans="1:11">
      <c r="A26" s="133">
        <v>20</v>
      </c>
      <c r="B26" s="134" t="str">
        <f t="shared" si="0"/>
        <v>(日)</v>
      </c>
      <c r="C26" s="30"/>
      <c r="D26" s="47" t="s">
        <v>11</v>
      </c>
      <c r="E26" s="129"/>
      <c r="F26" s="136"/>
      <c r="G26" s="137"/>
      <c r="H26" s="137"/>
      <c r="J26" s="32" t="s">
        <v>29</v>
      </c>
      <c r="K26" s="33"/>
    </row>
    <row r="27" spans="1:11">
      <c r="A27" s="133">
        <v>21</v>
      </c>
      <c r="B27" s="134" t="str">
        <f t="shared" si="0"/>
        <v>(月)</v>
      </c>
      <c r="C27" s="46"/>
      <c r="D27" s="47" t="s">
        <v>11</v>
      </c>
      <c r="E27" s="135"/>
      <c r="F27" s="136"/>
      <c r="G27" s="137"/>
      <c r="H27" s="137"/>
      <c r="J27" s="32"/>
      <c r="K27" s="33"/>
    </row>
    <row r="28" spans="1:11">
      <c r="A28" s="133">
        <v>22</v>
      </c>
      <c r="B28" s="134" t="str">
        <f t="shared" si="0"/>
        <v>(火)</v>
      </c>
      <c r="C28" s="46"/>
      <c r="D28" s="47" t="s">
        <v>11</v>
      </c>
      <c r="E28" s="135"/>
      <c r="F28" s="136"/>
      <c r="G28" s="137"/>
      <c r="H28" s="138"/>
      <c r="J28" s="32" t="s">
        <v>30</v>
      </c>
      <c r="K28" s="33"/>
    </row>
    <row r="29" spans="1:11">
      <c r="A29" s="133">
        <v>23</v>
      </c>
      <c r="B29" s="134" t="str">
        <f t="shared" si="0"/>
        <v>(水)</v>
      </c>
      <c r="C29" s="30"/>
      <c r="D29" s="47" t="s">
        <v>11</v>
      </c>
      <c r="E29" s="129"/>
      <c r="F29" s="136"/>
      <c r="G29" s="137"/>
      <c r="H29" s="138"/>
      <c r="J29" s="32" t="s">
        <v>31</v>
      </c>
      <c r="K29" s="33"/>
    </row>
    <row r="30" spans="1:11">
      <c r="A30" s="133">
        <v>24</v>
      </c>
      <c r="B30" s="134" t="str">
        <f t="shared" si="0"/>
        <v>(木)</v>
      </c>
      <c r="C30" s="30"/>
      <c r="D30" s="47" t="s">
        <v>11</v>
      </c>
      <c r="E30" s="129"/>
      <c r="F30" s="136"/>
      <c r="G30" s="137"/>
      <c r="H30" s="138"/>
      <c r="J30" s="32" t="s">
        <v>32</v>
      </c>
      <c r="K30" s="33"/>
    </row>
    <row r="31" spans="1:11">
      <c r="A31" s="133">
        <v>25</v>
      </c>
      <c r="B31" s="134" t="str">
        <f t="shared" si="0"/>
        <v>(金)</v>
      </c>
      <c r="C31" s="30"/>
      <c r="D31" s="47" t="s">
        <v>11</v>
      </c>
      <c r="E31" s="129"/>
      <c r="F31" s="136"/>
      <c r="G31" s="137"/>
      <c r="H31" s="138"/>
      <c r="J31" s="32" t="s">
        <v>33</v>
      </c>
      <c r="K31" s="33"/>
    </row>
    <row r="32" spans="1:11">
      <c r="A32" s="133">
        <v>26</v>
      </c>
      <c r="B32" s="134" t="str">
        <f t="shared" si="0"/>
        <v>(土)</v>
      </c>
      <c r="C32" s="30"/>
      <c r="D32" s="47" t="s">
        <v>11</v>
      </c>
      <c r="E32" s="129"/>
      <c r="F32" s="136"/>
      <c r="G32" s="137"/>
      <c r="H32" s="138"/>
      <c r="J32" s="32" t="s">
        <v>34</v>
      </c>
      <c r="K32" s="33"/>
    </row>
    <row r="33" spans="1:11">
      <c r="A33" s="133">
        <v>27</v>
      </c>
      <c r="B33" s="134" t="str">
        <f t="shared" si="0"/>
        <v>(日)</v>
      </c>
      <c r="C33" s="30"/>
      <c r="D33" s="47" t="s">
        <v>11</v>
      </c>
      <c r="E33" s="129"/>
      <c r="F33" s="136"/>
      <c r="G33" s="137"/>
      <c r="H33" s="137"/>
      <c r="J33" s="32" t="s">
        <v>35</v>
      </c>
      <c r="K33" s="33"/>
    </row>
    <row r="34" spans="1:11" ht="30" customHeight="1">
      <c r="A34" s="133">
        <v>28</v>
      </c>
      <c r="B34" s="134" t="str">
        <f t="shared" si="0"/>
        <v>(月)</v>
      </c>
      <c r="C34" s="46"/>
      <c r="D34" s="47" t="s">
        <v>11</v>
      </c>
      <c r="E34" s="135"/>
      <c r="F34" s="136"/>
      <c r="G34" s="137"/>
      <c r="H34" s="137"/>
      <c r="J34" s="32" t="s">
        <v>36</v>
      </c>
      <c r="K34" s="33"/>
    </row>
    <row r="35" spans="1:11">
      <c r="A35" s="133">
        <f>IF(J10=2,"",29)</f>
        <v>29</v>
      </c>
      <c r="B35" s="134" t="str">
        <f>IF(J10=2,"","("&amp;TEXT(DATE($J$9,$J$10,A35),"aaa")&amp;")")</f>
        <v>(火)</v>
      </c>
      <c r="C35" s="46"/>
      <c r="D35" s="47" t="s">
        <v>11</v>
      </c>
      <c r="E35" s="135"/>
      <c r="F35" s="136"/>
      <c r="G35" s="137"/>
      <c r="H35" s="138"/>
      <c r="J35" s="33" t="s">
        <v>37</v>
      </c>
      <c r="K35" s="33"/>
    </row>
    <row r="36" spans="1:11">
      <c r="A36" s="133">
        <f>IF(J10=2,"",30)</f>
        <v>30</v>
      </c>
      <c r="B36" s="134" t="str">
        <f>IF(J10=2,"","("&amp;TEXT(DATE($J$9,$J$10,A36),"aaa")&amp;")")</f>
        <v>(水)</v>
      </c>
      <c r="C36" s="30"/>
      <c r="D36" s="47" t="s">
        <v>11</v>
      </c>
      <c r="E36" s="129"/>
      <c r="F36" s="136"/>
      <c r="G36" s="137"/>
      <c r="H36" s="138"/>
      <c r="J36" s="32" t="s">
        <v>38</v>
      </c>
      <c r="K36" s="33"/>
    </row>
    <row r="37" spans="1:11">
      <c r="A37" s="133" t="str">
        <f>IF(OR(J10=1,J10=3,J10=5,J10=7,J10=8,J10=10,J10=12),31,"")</f>
        <v/>
      </c>
      <c r="B37" s="134" t="str">
        <f>IF(OR(J10=1,J10=3,J10=5,J10=7,J10=8,J10=10,J10=12),"("&amp;TEXT(DATE($J$9,$J$10,A37),"aaa")&amp;")","")</f>
        <v/>
      </c>
      <c r="C37" s="30"/>
      <c r="D37" s="47" t="s">
        <v>11</v>
      </c>
      <c r="E37" s="129"/>
      <c r="F37" s="136"/>
      <c r="G37" s="137"/>
      <c r="H37" s="138"/>
      <c r="J37" s="32" t="s">
        <v>39</v>
      </c>
      <c r="K37" s="33"/>
    </row>
    <row r="38" spans="1:11" ht="20.100000000000001" customHeight="1">
      <c r="A38" s="154" t="s">
        <v>40</v>
      </c>
      <c r="B38" s="155"/>
      <c r="C38" s="155"/>
      <c r="D38" s="155"/>
      <c r="E38" s="155"/>
      <c r="F38" s="155"/>
      <c r="G38" s="155"/>
      <c r="H38" s="155"/>
      <c r="J38" s="32" t="s">
        <v>2</v>
      </c>
      <c r="K38" s="33"/>
    </row>
    <row r="39" spans="1:11">
      <c r="J39" s="32"/>
      <c r="K39" s="33"/>
    </row>
    <row r="40" spans="1:11">
      <c r="J40" s="32" t="s">
        <v>41</v>
      </c>
      <c r="K40" s="33"/>
    </row>
    <row r="41" spans="1:11">
      <c r="J41" s="33" t="s">
        <v>42</v>
      </c>
      <c r="K41" s="33"/>
    </row>
    <row r="42" spans="1:11">
      <c r="J42" s="32" t="s">
        <v>43</v>
      </c>
      <c r="K42" s="33"/>
    </row>
    <row r="43" spans="1:11" ht="162" customHeight="1">
      <c r="C43" s="152" t="s">
        <v>44</v>
      </c>
      <c r="D43" s="153"/>
      <c r="E43" s="153"/>
      <c r="F43" s="127" t="s">
        <v>45</v>
      </c>
      <c r="G43" s="127" t="s">
        <v>46</v>
      </c>
      <c r="H43" s="127" t="s">
        <v>47</v>
      </c>
      <c r="J43" s="32" t="s">
        <v>48</v>
      </c>
      <c r="K43" s="33"/>
    </row>
    <row r="44" spans="1:11">
      <c r="J44" s="32" t="s">
        <v>49</v>
      </c>
      <c r="K44" s="33"/>
    </row>
    <row r="45" spans="1:11" ht="16.5" customHeight="1">
      <c r="J45" s="32"/>
      <c r="K45" s="33"/>
    </row>
    <row r="46" spans="1:11" ht="16.5" customHeight="1">
      <c r="A46" t="s">
        <v>50</v>
      </c>
      <c r="J46" s="32" t="s">
        <v>51</v>
      </c>
      <c r="K46" s="33"/>
    </row>
    <row r="47" spans="1:11" ht="16.5" customHeight="1">
      <c r="A47" s="150" t="s">
        <v>52</v>
      </c>
    </row>
    <row r="48" spans="1:11" ht="16.5" customHeight="1">
      <c r="A48" s="150" t="s">
        <v>53</v>
      </c>
    </row>
    <row r="49" spans="1:1" ht="16.5" customHeight="1">
      <c r="A49" s="149" t="s">
        <v>54</v>
      </c>
    </row>
    <row r="50" spans="1:1" ht="16.5" customHeight="1">
      <c r="A50" t="s">
        <v>55</v>
      </c>
    </row>
    <row r="51" spans="1:1">
      <c r="A51" t="s">
        <v>56</v>
      </c>
    </row>
    <row r="52" spans="1:1">
      <c r="A52" t="s">
        <v>57</v>
      </c>
    </row>
  </sheetData>
  <mergeCells count="4">
    <mergeCell ref="C43:E43"/>
    <mergeCell ref="A38:H38"/>
    <mergeCell ref="J8:K8"/>
    <mergeCell ref="C6:E6"/>
  </mergeCells>
  <phoneticPr fontId="2"/>
  <conditionalFormatting sqref="A35:B35 H35 A36:H37">
    <cfRule type="expression" dxfId="41" priority="3" stopIfTrue="1">
      <formula>$A35=""</formula>
    </cfRule>
  </conditionalFormatting>
  <conditionalFormatting sqref="A7:H37">
    <cfRule type="expression" dxfId="40" priority="1" stopIfTrue="1">
      <formula>$B7="(土)"</formula>
    </cfRule>
    <cfRule type="expression" dxfId="39" priority="2" stopIfTrue="1">
      <formula>$B7="(日)"</formula>
    </cfRule>
  </conditionalFormatting>
  <conditionalFormatting sqref="T7">
    <cfRule type="expression" dxfId="38" priority="4" stopIfTrue="1">
      <formula>$B$7="土"</formula>
    </cfRule>
  </conditionalFormatting>
  <dataValidations count="3">
    <dataValidation type="list" allowBlank="1" showInputMessage="1" showErrorMessage="1" sqref="G3" xr:uid="{00000000-0002-0000-0000-000000000000}">
      <formula1>$J$12:$J$48</formula1>
    </dataValidation>
    <dataValidation type="whole" allowBlank="1" showInputMessage="1" showErrorMessage="1" sqref="J10" xr:uid="{00000000-0002-0000-0000-000001000000}">
      <formula1>1</formula1>
      <formula2>12</formula2>
    </dataValidation>
    <dataValidation type="whole" operator="greaterThan" allowBlank="1" showInputMessage="1" showErrorMessage="1" sqref="J9" xr:uid="{00000000-0002-0000-0000-000002000000}">
      <formula1>2007</formula1>
    </dataValidation>
  </dataValidations>
  <pageMargins left="0.7" right="0.7" top="0.75" bottom="0.75" header="0.3" footer="0.3"/>
  <pageSetup paperSize="9" scale="76"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9"/>
  <sheetViews>
    <sheetView workbookViewId="0">
      <selection activeCell="G39" sqref="G39"/>
    </sheetView>
  </sheetViews>
  <sheetFormatPr defaultColWidth="7.54296875" defaultRowHeight="19.8"/>
  <cols>
    <col min="1" max="14" width="5.453125" style="151" customWidth="1"/>
    <col min="15" max="15" width="4" style="151" bestFit="1" customWidth="1"/>
  </cols>
  <sheetData>
    <row r="1" spans="1:15" ht="20.100000000000001" customHeight="1">
      <c r="C1" s="180" t="s">
        <v>58</v>
      </c>
      <c r="D1" s="159"/>
      <c r="E1" s="180" t="s">
        <v>59</v>
      </c>
      <c r="F1" s="159"/>
      <c r="G1" s="199" t="s">
        <v>60</v>
      </c>
      <c r="H1" s="160"/>
      <c r="I1" s="183" t="s">
        <v>61</v>
      </c>
      <c r="J1" s="160"/>
      <c r="K1" s="183" t="s">
        <v>62</v>
      </c>
      <c r="L1" s="160"/>
    </row>
    <row r="2" spans="1:15">
      <c r="C2" s="190"/>
      <c r="D2" s="178"/>
      <c r="E2" s="190"/>
      <c r="F2" s="178"/>
      <c r="G2" s="166"/>
      <c r="H2" s="167"/>
      <c r="I2" s="170"/>
      <c r="J2" s="167"/>
      <c r="K2" s="170"/>
      <c r="L2" s="167"/>
      <c r="O2" s="5"/>
    </row>
    <row r="3" spans="1:15">
      <c r="C3" s="6"/>
      <c r="D3" s="6"/>
      <c r="E3" s="6"/>
      <c r="F3" s="6"/>
      <c r="G3" s="6"/>
      <c r="H3" s="6"/>
      <c r="I3" s="6"/>
      <c r="J3" s="6"/>
      <c r="K3" s="6"/>
      <c r="L3" s="6"/>
      <c r="O3" s="5"/>
    </row>
    <row r="4" spans="1:15">
      <c r="A4" s="7"/>
      <c r="B4" s="7"/>
      <c r="C4" s="7"/>
      <c r="D4" s="7"/>
      <c r="E4" s="7"/>
      <c r="F4" s="7"/>
      <c r="G4" s="7"/>
      <c r="I4" s="7"/>
      <c r="J4" s="8"/>
      <c r="K4" s="8" t="str">
        <f>活動計画書!G1</f>
        <v>令和7年</v>
      </c>
      <c r="L4" s="8"/>
      <c r="M4" s="7" t="str">
        <f>活動計画書!H1</f>
        <v>月　　　日</v>
      </c>
      <c r="N4" s="7"/>
    </row>
    <row r="5" spans="1:15" ht="20.100000000000001" customHeight="1">
      <c r="D5" s="8"/>
      <c r="E5" s="195" t="s">
        <v>63</v>
      </c>
      <c r="F5" s="153"/>
      <c r="G5" s="153"/>
      <c r="H5" s="153"/>
      <c r="I5" s="153"/>
    </row>
    <row r="6" spans="1:15" ht="20.100000000000001" customHeight="1">
      <c r="D6" s="8"/>
      <c r="E6" s="153"/>
      <c r="F6" s="153"/>
      <c r="G6" s="153"/>
      <c r="H6" s="153"/>
      <c r="I6" s="153"/>
    </row>
    <row r="7" spans="1:15">
      <c r="A7" s="179" t="s">
        <v>64</v>
      </c>
      <c r="B7" s="153"/>
      <c r="C7" s="9"/>
      <c r="D7" s="9"/>
      <c r="K7" t="s">
        <v>65</v>
      </c>
      <c r="M7" t="str">
        <f>活動計画書!G3</f>
        <v>電子計算機部</v>
      </c>
    </row>
    <row r="8" spans="1:15">
      <c r="B8" s="7"/>
      <c r="C8" s="7"/>
      <c r="D8" s="7"/>
      <c r="E8" s="7"/>
      <c r="F8" s="7"/>
      <c r="G8" s="7"/>
      <c r="H8" s="7"/>
      <c r="I8" s="7"/>
      <c r="J8" s="1"/>
      <c r="K8" s="7" t="s">
        <v>66</v>
      </c>
      <c r="L8" s="7"/>
      <c r="M8" s="7">
        <f>活動計画書!H5</f>
        <v>0</v>
      </c>
    </row>
    <row r="9" spans="1:15">
      <c r="A9" s="161" t="s">
        <v>67</v>
      </c>
      <c r="B9" s="153"/>
      <c r="C9" s="153"/>
      <c r="D9" s="153"/>
      <c r="E9" s="153"/>
      <c r="F9" s="153"/>
      <c r="G9" s="153"/>
      <c r="H9" s="153"/>
    </row>
    <row r="10" spans="1:15">
      <c r="A10" s="176" t="s">
        <v>68</v>
      </c>
      <c r="B10" s="153"/>
      <c r="C10" s="153"/>
      <c r="D10" s="153"/>
      <c r="E10" s="153"/>
      <c r="F10" s="153"/>
      <c r="G10" s="153"/>
      <c r="H10" s="153"/>
      <c r="I10" s="153"/>
      <c r="J10" s="153"/>
    </row>
    <row r="11" spans="1:15">
      <c r="A11" s="186" t="s">
        <v>69</v>
      </c>
      <c r="B11" s="153"/>
      <c r="C11" s="153"/>
      <c r="D11" s="153"/>
      <c r="E11" s="153"/>
      <c r="F11" s="153"/>
      <c r="G11" s="153"/>
      <c r="H11" s="10"/>
    </row>
    <row r="12" spans="1:15" ht="21" customHeight="1" thickBot="1">
      <c r="A12" s="11"/>
      <c r="B12" s="12"/>
      <c r="C12" s="12"/>
      <c r="D12" s="4"/>
      <c r="E12" s="12"/>
      <c r="F12" s="12"/>
      <c r="G12" s="12"/>
      <c r="H12" s="13"/>
      <c r="I12" s="4"/>
      <c r="J12" s="4"/>
      <c r="K12" s="4"/>
      <c r="L12" s="4"/>
      <c r="M12" s="4"/>
      <c r="N12" s="14"/>
    </row>
    <row r="13" spans="1:15" ht="21" customHeight="1" thickBot="1">
      <c r="A13" s="188" t="s">
        <v>70</v>
      </c>
      <c r="B13" s="165"/>
      <c r="C13" s="189"/>
      <c r="D13" s="15"/>
      <c r="E13" s="164" t="s">
        <v>71</v>
      </c>
      <c r="F13" s="165"/>
      <c r="G13" s="165"/>
      <c r="H13" s="16"/>
      <c r="I13" s="16"/>
      <c r="J13" s="16"/>
      <c r="K13" s="16"/>
      <c r="L13" s="16"/>
      <c r="M13" s="17"/>
      <c r="N13" s="18">
        <v>1</v>
      </c>
    </row>
    <row r="14" spans="1:15" ht="20.100000000000001" customHeight="1">
      <c r="A14" s="193" t="s">
        <v>72</v>
      </c>
      <c r="B14" s="165"/>
      <c r="C14" s="187"/>
      <c r="D14" s="169"/>
      <c r="E14" s="169"/>
      <c r="F14" s="169"/>
      <c r="G14" s="169"/>
      <c r="H14" s="169"/>
      <c r="I14" s="169"/>
      <c r="J14" s="169"/>
      <c r="K14" s="169"/>
      <c r="L14" s="169"/>
      <c r="M14" s="17"/>
      <c r="N14" s="18">
        <v>2</v>
      </c>
    </row>
    <row r="15" spans="1:15">
      <c r="A15" s="19"/>
      <c r="B15" s="198"/>
      <c r="C15" s="169"/>
      <c r="D15" s="169"/>
      <c r="E15" s="169"/>
      <c r="F15" s="169"/>
      <c r="G15" s="169"/>
      <c r="H15" s="169"/>
      <c r="I15" s="169"/>
      <c r="J15" s="169"/>
      <c r="K15" s="169"/>
      <c r="L15" s="169"/>
      <c r="N15" s="18">
        <v>3</v>
      </c>
    </row>
    <row r="16" spans="1:15">
      <c r="A16" s="181" t="s">
        <v>73</v>
      </c>
      <c r="B16" s="153"/>
      <c r="C16" s="153"/>
      <c r="D16" s="153"/>
      <c r="E16" s="153"/>
      <c r="F16" s="153"/>
      <c r="G16" s="153"/>
      <c r="H16" s="153"/>
      <c r="I16" s="153"/>
      <c r="J16" s="153"/>
      <c r="K16" s="153"/>
      <c r="L16" s="153"/>
      <c r="M16" s="153"/>
      <c r="N16" s="182"/>
    </row>
    <row r="17" spans="1:14" ht="20.100000000000001" customHeight="1">
      <c r="A17" s="196" t="s">
        <v>74</v>
      </c>
      <c r="B17" s="153"/>
      <c r="C17" s="153"/>
      <c r="D17" s="153"/>
      <c r="E17" s="153"/>
      <c r="F17" s="153"/>
      <c r="G17" s="153"/>
      <c r="H17" s="153"/>
      <c r="I17" s="153"/>
      <c r="J17" s="153"/>
      <c r="K17" s="153"/>
      <c r="L17" s="153"/>
      <c r="M17" s="153"/>
      <c r="N17" s="182"/>
    </row>
    <row r="18" spans="1:14" ht="20.100000000000001" customHeight="1">
      <c r="A18" s="20"/>
      <c r="B18" s="192" t="s">
        <v>75</v>
      </c>
      <c r="C18" s="153"/>
      <c r="D18" s="153"/>
      <c r="E18" s="153"/>
      <c r="F18" s="153"/>
      <c r="G18" s="153"/>
      <c r="H18" s="153"/>
      <c r="I18" s="153"/>
      <c r="J18" s="153"/>
      <c r="K18" s="153"/>
      <c r="L18" s="153"/>
      <c r="M18" s="153"/>
      <c r="N18" s="182"/>
    </row>
    <row r="19" spans="1:14" ht="20.100000000000001" customHeight="1">
      <c r="A19" s="20"/>
      <c r="B19" s="192" t="s">
        <v>76</v>
      </c>
      <c r="C19" s="153"/>
      <c r="D19" s="153"/>
      <c r="E19" s="153"/>
      <c r="F19" s="153"/>
      <c r="G19" s="153"/>
      <c r="H19" s="153"/>
      <c r="I19" s="153"/>
      <c r="J19" s="153"/>
      <c r="K19" s="153"/>
      <c r="L19" s="153"/>
      <c r="M19" s="153"/>
      <c r="N19" s="182"/>
    </row>
    <row r="20" spans="1:14" ht="20.100000000000001" customHeight="1">
      <c r="A20" s="3"/>
      <c r="B20" s="177" t="s">
        <v>77</v>
      </c>
      <c r="C20" s="178"/>
      <c r="D20" s="178"/>
      <c r="E20" s="178"/>
      <c r="F20" s="178"/>
      <c r="G20" s="178"/>
      <c r="H20" s="178"/>
      <c r="I20" s="178"/>
      <c r="J20" s="178"/>
      <c r="K20" s="178"/>
      <c r="L20" s="178"/>
      <c r="M20" s="178"/>
      <c r="N20" s="167"/>
    </row>
    <row r="21" spans="1:14" ht="21" customHeight="1" thickBot="1">
      <c r="A21" s="1"/>
      <c r="G21" s="10"/>
      <c r="H21" s="10"/>
      <c r="J21" s="197"/>
      <c r="K21" s="153"/>
      <c r="L21" s="153"/>
      <c r="M21" s="153"/>
      <c r="N21" s="153"/>
    </row>
    <row r="22" spans="1:14" ht="21" customHeight="1" thickBot="1">
      <c r="A22" s="21">
        <f>活動計画書!J9</f>
        <v>2025</v>
      </c>
      <c r="B22" s="22" t="s">
        <v>13</v>
      </c>
      <c r="C22" s="23">
        <f>活動計画書!J10</f>
        <v>4</v>
      </c>
      <c r="D22" s="22" t="s">
        <v>14</v>
      </c>
      <c r="E22" s="9" t="s">
        <v>78</v>
      </c>
    </row>
    <row r="24" spans="1:14">
      <c r="A24" s="24">
        <v>1</v>
      </c>
      <c r="B24" s="25" t="str">
        <f>"("&amp;TEXT(DATE($A$22,$C$22,A24),"aaa")&amp;")"</f>
        <v>(火)</v>
      </c>
      <c r="C24" s="26">
        <v>2</v>
      </c>
      <c r="D24" s="27" t="str">
        <f>"("&amp;TEXT(DATE($A$22,$C$22,C24),"aaa")&amp;")"</f>
        <v>(水)</v>
      </c>
      <c r="E24" s="24">
        <v>3</v>
      </c>
      <c r="F24" s="25" t="str">
        <f>"("&amp;TEXT(DATE($A$22,$C$22,E24),"aaa")&amp;")"</f>
        <v>(木)</v>
      </c>
      <c r="G24" s="24">
        <v>4</v>
      </c>
      <c r="H24" s="25" t="str">
        <f>"("&amp;TEXT(DATE($A$22,$C$22,G24),"aaa")&amp;")"</f>
        <v>(金)</v>
      </c>
      <c r="I24" s="26">
        <v>5</v>
      </c>
      <c r="J24" s="27" t="str">
        <f>"("&amp;TEXT(DATE($A$22,$C$22,I24),"aaa")&amp;")"</f>
        <v>(土)</v>
      </c>
      <c r="K24" s="28">
        <v>6</v>
      </c>
      <c r="L24" s="25" t="str">
        <f>"("&amp;TEXT(DATE($A$22,$C$22,K24),"aaa")&amp;")"</f>
        <v>(日)</v>
      </c>
      <c r="M24" s="29">
        <v>7</v>
      </c>
      <c r="N24" s="25" t="str">
        <f>"("&amp;TEXT(DATE($A$22,$C$22,M24),"aaa")&amp;")"</f>
        <v>(月)</v>
      </c>
    </row>
    <row r="25" spans="1:14">
      <c r="A25" s="173" t="str">
        <f>活動計画書!H7&amp;""</f>
        <v/>
      </c>
      <c r="B25" s="174"/>
      <c r="C25" s="162" t="str">
        <f>活動計画書!H8&amp;""</f>
        <v/>
      </c>
      <c r="D25" s="163"/>
      <c r="E25" s="162" t="str">
        <f>活動計画書!H9&amp;""</f>
        <v/>
      </c>
      <c r="F25" s="163"/>
      <c r="G25" s="162" t="str">
        <f>活動計画書!H10&amp;""</f>
        <v/>
      </c>
      <c r="H25" s="163"/>
      <c r="I25" s="162" t="str">
        <f>活動計画書!H11&amp;""</f>
        <v/>
      </c>
      <c r="J25" s="163"/>
      <c r="K25" s="162" t="str">
        <f>活動計画書!H12&amp;""</f>
        <v/>
      </c>
      <c r="L25" s="163"/>
      <c r="M25" s="162" t="str">
        <f>活動計画書!H13&amp;""</f>
        <v/>
      </c>
      <c r="N25" s="163"/>
    </row>
    <row r="26" spans="1:14">
      <c r="A26" s="24">
        <v>8</v>
      </c>
      <c r="B26" s="25" t="str">
        <f>"("&amp;TEXT(DATE($A$22,$C$22,A26),"aaa")&amp;")"</f>
        <v>(火)</v>
      </c>
      <c r="C26" s="26">
        <v>9</v>
      </c>
      <c r="D26" s="27" t="str">
        <f>"("&amp;TEXT(DATE($A$22,$C$22,C26),"aaa")&amp;")"</f>
        <v>(水)</v>
      </c>
      <c r="E26" s="24">
        <v>10</v>
      </c>
      <c r="F26" s="25" t="str">
        <f>"("&amp;TEXT(DATE($A$22,$C$22,E26),"aaa")&amp;")"</f>
        <v>(木)</v>
      </c>
      <c r="G26" s="24">
        <v>11</v>
      </c>
      <c r="H26" s="25" t="str">
        <f>"("&amp;TEXT(DATE($A$22,$C$22,G26),"aaa")&amp;")"</f>
        <v>(金)</v>
      </c>
      <c r="I26" s="26">
        <v>12</v>
      </c>
      <c r="J26" s="27" t="str">
        <f>"("&amp;TEXT(DATE($A$22,$C$22,I26),"aaa")&amp;")"</f>
        <v>(土)</v>
      </c>
      <c r="K26" s="24">
        <v>13</v>
      </c>
      <c r="L26" s="25" t="str">
        <f>"("&amp;TEXT(DATE($A$22,$C$22,K26),"aaa")&amp;")"</f>
        <v>(日)</v>
      </c>
      <c r="M26" s="26">
        <v>14</v>
      </c>
      <c r="N26" s="25" t="str">
        <f>"("&amp;TEXT(DATE($A$22,$C$22,M26),"aaa")&amp;")"</f>
        <v>(月)</v>
      </c>
    </row>
    <row r="27" spans="1:14">
      <c r="A27" s="173" t="str">
        <f>活動計画書!H14&amp;""</f>
        <v/>
      </c>
      <c r="B27" s="174"/>
      <c r="C27" s="175" t="str">
        <f>活動計画書!H15&amp;""</f>
        <v/>
      </c>
      <c r="D27" s="165"/>
      <c r="E27" s="173" t="str">
        <f>活動計画書!H16&amp;""</f>
        <v/>
      </c>
      <c r="F27" s="174"/>
      <c r="G27" s="173" t="str">
        <f>活動計画書!H17&amp;""</f>
        <v/>
      </c>
      <c r="H27" s="174"/>
      <c r="I27" s="175" t="str">
        <f>活動計画書!H18&amp;""</f>
        <v/>
      </c>
      <c r="J27" s="165"/>
      <c r="K27" s="173" t="str">
        <f>活動計画書!H19&amp;""</f>
        <v/>
      </c>
      <c r="L27" s="174"/>
      <c r="M27" s="194" t="str">
        <f>活動計画書!H20&amp;""</f>
        <v/>
      </c>
      <c r="N27" s="174"/>
    </row>
    <row r="28" spans="1:14">
      <c r="A28" s="24">
        <v>15</v>
      </c>
      <c r="B28" s="25" t="str">
        <f>"("&amp;TEXT(DATE($A$22,$C$22,A28),"aaa")&amp;")"</f>
        <v>(火)</v>
      </c>
      <c r="C28" s="26">
        <v>16</v>
      </c>
      <c r="D28" s="27" t="str">
        <f>"("&amp;TEXT(DATE($A$22,$C$22,C28),"aaa")&amp;")"</f>
        <v>(水)</v>
      </c>
      <c r="E28" s="24">
        <v>17</v>
      </c>
      <c r="F28" s="25" t="str">
        <f>"("&amp;TEXT(DATE($A$22,$C$22,E28),"aaa")&amp;")"</f>
        <v>(木)</v>
      </c>
      <c r="G28" s="24">
        <v>18</v>
      </c>
      <c r="H28" s="25" t="str">
        <f>"("&amp;TEXT(DATE($A$22,$C$22,G28),"aaa")&amp;")"</f>
        <v>(金)</v>
      </c>
      <c r="I28" s="26">
        <v>19</v>
      </c>
      <c r="J28" s="27" t="str">
        <f>"("&amp;TEXT(DATE($A$22,$C$22,I28),"aaa")&amp;")"</f>
        <v>(土)</v>
      </c>
      <c r="K28" s="24">
        <v>20</v>
      </c>
      <c r="L28" s="25" t="str">
        <f>"("&amp;TEXT(DATE($A$22,$C$22,K28),"aaa")&amp;")"</f>
        <v>(日)</v>
      </c>
      <c r="M28" s="26">
        <v>21</v>
      </c>
      <c r="N28" s="25" t="str">
        <f>"("&amp;TEXT(DATE($A$22,$C$22,M28),"aaa")&amp;")"</f>
        <v>(月)</v>
      </c>
    </row>
    <row r="29" spans="1:14">
      <c r="A29" s="173" t="str">
        <f>活動計画書!H21&amp;""</f>
        <v/>
      </c>
      <c r="B29" s="174"/>
      <c r="C29" s="175" t="str">
        <f>活動計画書!H22&amp;""</f>
        <v/>
      </c>
      <c r="D29" s="165"/>
      <c r="E29" s="173" t="str">
        <f>活動計画書!H23&amp;""</f>
        <v/>
      </c>
      <c r="F29" s="174"/>
      <c r="G29" s="173" t="str">
        <f>活動計画書!H24&amp;""</f>
        <v/>
      </c>
      <c r="H29" s="174"/>
      <c r="I29" s="175" t="str">
        <f>活動計画書!H25&amp;""</f>
        <v/>
      </c>
      <c r="J29" s="165"/>
      <c r="K29" s="173" t="str">
        <f>活動計画書!H26&amp;""</f>
        <v/>
      </c>
      <c r="L29" s="174"/>
      <c r="M29" s="194" t="str">
        <f>活動計画書!H27&amp;""</f>
        <v/>
      </c>
      <c r="N29" s="174"/>
    </row>
    <row r="30" spans="1:14">
      <c r="A30" s="24">
        <v>22</v>
      </c>
      <c r="B30" s="25" t="str">
        <f>"("&amp;TEXT(DATE($A$22,$C$22,A30),"aaa")&amp;")"</f>
        <v>(火)</v>
      </c>
      <c r="C30" s="26">
        <v>23</v>
      </c>
      <c r="D30" s="27" t="str">
        <f>"("&amp;TEXT(DATE($A$22,$C$22,C30),"aaa")&amp;")"</f>
        <v>(水)</v>
      </c>
      <c r="E30" s="24">
        <v>24</v>
      </c>
      <c r="F30" s="25" t="str">
        <f>"("&amp;TEXT(DATE($A$22,$C$22,E30),"aaa")&amp;")"</f>
        <v>(木)</v>
      </c>
      <c r="G30" s="24">
        <v>25</v>
      </c>
      <c r="H30" s="25" t="str">
        <f>"("&amp;TEXT(DATE($A$22,$C$22,G30),"aaa")&amp;")"</f>
        <v>(金)</v>
      </c>
      <c r="I30" s="26">
        <v>26</v>
      </c>
      <c r="J30" s="27" t="str">
        <f>"("&amp;TEXT(DATE($A$22,$C$22,I30),"aaa")&amp;")"</f>
        <v>(土)</v>
      </c>
      <c r="K30" s="24">
        <v>27</v>
      </c>
      <c r="L30" s="25" t="str">
        <f>"("&amp;TEXT(DATE($A$22,$C$22,K30),"aaa")&amp;")"</f>
        <v>(日)</v>
      </c>
      <c r="M30" s="26">
        <v>28</v>
      </c>
      <c r="N30" s="25" t="str">
        <f>"("&amp;TEXT(DATE($A$22,$C$22,M30),"aaa")&amp;")"</f>
        <v>(月)</v>
      </c>
    </row>
    <row r="31" spans="1:14">
      <c r="A31" s="171" t="str">
        <f>活動計画書!H28&amp;""</f>
        <v/>
      </c>
      <c r="B31" s="172"/>
      <c r="C31" s="168" t="str">
        <f>活動計画書!H29&amp;""</f>
        <v/>
      </c>
      <c r="D31" s="169"/>
      <c r="E31" s="171" t="str">
        <f>活動計画書!H30&amp;""</f>
        <v/>
      </c>
      <c r="F31" s="172"/>
      <c r="G31" s="171" t="str">
        <f>活動計画書!H31&amp;""</f>
        <v/>
      </c>
      <c r="H31" s="172"/>
      <c r="I31" s="168" t="str">
        <f>活動計画書!H32&amp;""</f>
        <v/>
      </c>
      <c r="J31" s="169"/>
      <c r="K31" s="171" t="str">
        <f>活動計画書!H33&amp;""</f>
        <v/>
      </c>
      <c r="L31" s="172"/>
      <c r="M31" s="185" t="str">
        <f>活動計画書!H34&amp;""</f>
        <v/>
      </c>
      <c r="N31" s="172"/>
    </row>
    <row r="32" spans="1:14" ht="20.100000000000001" customHeight="1">
      <c r="A32" s="24">
        <f>IF(C22=2,"",29)</f>
        <v>29</v>
      </c>
      <c r="B32" s="25" t="str">
        <f>IF(C22=2,"","("&amp;TEXT(DATE($A$22,$C$22,A32),"aaa")&amp;")")</f>
        <v>(火)</v>
      </c>
      <c r="C32" s="26">
        <f>IF(C22=2,"",30)</f>
        <v>30</v>
      </c>
      <c r="D32" s="27" t="str">
        <f>IF(C22=2,"","("&amp;TEXT(DATE($A$22,$C$22,C32),"aaa")&amp;")")</f>
        <v>(水)</v>
      </c>
      <c r="E32" s="24" t="str">
        <f>IF(OR(C22=1,C22=3,C22=5,C22=7,C22=8,C22=10,C22=12),31,"")</f>
        <v/>
      </c>
      <c r="F32" s="25" t="str">
        <f>IF(OR(C22=1,C22=3,C22=5,C22=7,C22=8,C22=10,C22=12),"("&amp;TEXT(DATE($A$22,$C$22,E32),"aaa")&amp;")","")</f>
        <v/>
      </c>
      <c r="G32" s="184" t="s">
        <v>79</v>
      </c>
      <c r="H32" s="165"/>
      <c r="I32" s="165"/>
      <c r="J32" s="165"/>
      <c r="K32" s="165"/>
      <c r="L32" s="165"/>
      <c r="M32" s="165"/>
      <c r="N32" s="165"/>
    </row>
    <row r="33" spans="1:14">
      <c r="A33" s="171" t="str">
        <f>活動計画書!H35&amp;""</f>
        <v/>
      </c>
      <c r="B33" s="172"/>
      <c r="C33" s="168" t="str">
        <f>活動計画書!H36&amp;""</f>
        <v/>
      </c>
      <c r="D33" s="169"/>
      <c r="E33" s="171" t="str">
        <f>活動計画書!H37&amp;""</f>
        <v/>
      </c>
      <c r="F33" s="172"/>
      <c r="G33" s="165"/>
      <c r="H33" s="165"/>
      <c r="I33" s="165"/>
      <c r="J33" s="165"/>
      <c r="K33" s="165"/>
      <c r="L33" s="165"/>
      <c r="M33" s="165"/>
      <c r="N33" s="165"/>
    </row>
    <row r="34" spans="1:14">
      <c r="A34" s="2"/>
      <c r="B34" s="2"/>
      <c r="C34" s="2"/>
      <c r="D34" s="2"/>
      <c r="E34" s="2"/>
      <c r="F34" s="2"/>
      <c r="G34" s="31"/>
      <c r="H34" s="31"/>
      <c r="I34" s="31"/>
      <c r="J34" s="31"/>
      <c r="K34" s="31"/>
      <c r="L34" s="31"/>
      <c r="M34" s="31"/>
      <c r="N34" s="31"/>
    </row>
    <row r="35" spans="1:14">
      <c r="J35" t="s">
        <v>80</v>
      </c>
      <c r="K35" s="191" t="s">
        <v>81</v>
      </c>
      <c r="L35" s="153"/>
      <c r="M35" s="153"/>
      <c r="N35" s="153"/>
    </row>
    <row r="39" spans="1:14">
      <c r="J39" s="32" t="s">
        <v>21</v>
      </c>
      <c r="K39" s="33"/>
    </row>
  </sheetData>
  <mergeCells count="59">
    <mergeCell ref="B15:L15"/>
    <mergeCell ref="G1:H1"/>
    <mergeCell ref="G25:H25"/>
    <mergeCell ref="G31:H31"/>
    <mergeCell ref="I31:J31"/>
    <mergeCell ref="A31:B31"/>
    <mergeCell ref="B19:N19"/>
    <mergeCell ref="A17:N17"/>
    <mergeCell ref="I29:J29"/>
    <mergeCell ref="A29:B29"/>
    <mergeCell ref="J21:N21"/>
    <mergeCell ref="M29:N29"/>
    <mergeCell ref="E25:F25"/>
    <mergeCell ref="K35:N35"/>
    <mergeCell ref="C27:D27"/>
    <mergeCell ref="B18:N18"/>
    <mergeCell ref="E27:F27"/>
    <mergeCell ref="K27:L27"/>
    <mergeCell ref="M27:N27"/>
    <mergeCell ref="G29:H29"/>
    <mergeCell ref="G32:N33"/>
    <mergeCell ref="K31:L31"/>
    <mergeCell ref="M31:N31"/>
    <mergeCell ref="C31:D31"/>
    <mergeCell ref="A27:B27"/>
    <mergeCell ref="E31:F31"/>
    <mergeCell ref="A33:B33"/>
    <mergeCell ref="C1:D1"/>
    <mergeCell ref="C25:D25"/>
    <mergeCell ref="I25:J25"/>
    <mergeCell ref="A16:N16"/>
    <mergeCell ref="E1:F1"/>
    <mergeCell ref="K1:L1"/>
    <mergeCell ref="A11:G11"/>
    <mergeCell ref="C14:L14"/>
    <mergeCell ref="M25:N25"/>
    <mergeCell ref="A13:C13"/>
    <mergeCell ref="C2:D2"/>
    <mergeCell ref="E2:F2"/>
    <mergeCell ref="K2:L2"/>
    <mergeCell ref="A14:B14"/>
    <mergeCell ref="E5:I6"/>
    <mergeCell ref="I1:J1"/>
    <mergeCell ref="A9:H9"/>
    <mergeCell ref="K25:L25"/>
    <mergeCell ref="E13:G13"/>
    <mergeCell ref="G2:H2"/>
    <mergeCell ref="C33:D33"/>
    <mergeCell ref="I2:J2"/>
    <mergeCell ref="E33:F33"/>
    <mergeCell ref="G27:H27"/>
    <mergeCell ref="I27:J27"/>
    <mergeCell ref="A10:J10"/>
    <mergeCell ref="B20:N20"/>
    <mergeCell ref="K29:L29"/>
    <mergeCell ref="C29:D29"/>
    <mergeCell ref="A7:B7"/>
    <mergeCell ref="E29:F29"/>
    <mergeCell ref="A25:B25"/>
  </mergeCells>
  <phoneticPr fontId="2"/>
  <conditionalFormatting sqref="A27">
    <cfRule type="expression" dxfId="37" priority="9" stopIfTrue="1">
      <formula>$B27="(土)"</formula>
    </cfRule>
    <cfRule type="expression" dxfId="36" priority="10" stopIfTrue="1">
      <formula>$B27="(日)"</formula>
    </cfRule>
  </conditionalFormatting>
  <conditionalFormatting sqref="A29">
    <cfRule type="expression" dxfId="35" priority="7" stopIfTrue="1">
      <formula>$B29="(土)"</formula>
    </cfRule>
    <cfRule type="expression" dxfId="34" priority="8" stopIfTrue="1">
      <formula>$B29="(日)"</formula>
    </cfRule>
  </conditionalFormatting>
  <conditionalFormatting sqref="A31">
    <cfRule type="expression" dxfId="33" priority="5" stopIfTrue="1">
      <formula>$B31="(土)"</formula>
    </cfRule>
    <cfRule type="expression" dxfId="32" priority="6" stopIfTrue="1">
      <formula>$B31="(日)"</formula>
    </cfRule>
  </conditionalFormatting>
  <conditionalFormatting sqref="A33:A34">
    <cfRule type="expression" dxfId="31" priority="3" stopIfTrue="1">
      <formula>$B33="(土)"</formula>
    </cfRule>
    <cfRule type="expression" dxfId="30" priority="4" stopIfTrue="1">
      <formula>$B33="(日)"</formula>
    </cfRule>
  </conditionalFormatting>
  <conditionalFormatting sqref="A24:B24 A25 C25 E25 G25 I25 K25 M25 A26:B26 C27 E27 G27 I27 K27 M27 A28:B28 C29 E29 G29 I29 K29 M29 A30:B30 C31 E31 G31 I31 K31 M31 C33:C34 E33:E34">
    <cfRule type="expression" dxfId="29" priority="11" stopIfTrue="1">
      <formula>$B24="(土)"</formula>
    </cfRule>
    <cfRule type="expression" dxfId="28" priority="12" stopIfTrue="1">
      <formula>$B24="(日)"</formula>
    </cfRule>
  </conditionalFormatting>
  <conditionalFormatting sqref="A32:B32">
    <cfRule type="expression" dxfId="27" priority="26" stopIfTrue="1">
      <formula>$B32="(土)"</formula>
    </cfRule>
    <cfRule type="expression" dxfId="26" priority="27" stopIfTrue="1">
      <formula>$B32="(日)"</formula>
    </cfRule>
    <cfRule type="expression" dxfId="25" priority="28" stopIfTrue="1">
      <formula>$A32=""</formula>
    </cfRule>
  </conditionalFormatting>
  <conditionalFormatting sqref="C24:D24 C26:D26 C28:D28 C30:D30">
    <cfRule type="expression" dxfId="24" priority="14" stopIfTrue="1">
      <formula>$D24="(土)"</formula>
    </cfRule>
    <cfRule type="expression" dxfId="23" priority="15" stopIfTrue="1">
      <formula>$D24="(日)"</formula>
    </cfRule>
  </conditionalFormatting>
  <conditionalFormatting sqref="C32:D32">
    <cfRule type="expression" dxfId="22" priority="2" stopIfTrue="1">
      <formula>$B32="(土)"</formula>
    </cfRule>
  </conditionalFormatting>
  <conditionalFormatting sqref="C32:F32">
    <cfRule type="expression" dxfId="21" priority="1" stopIfTrue="1">
      <formula>$B32="(金)"</formula>
    </cfRule>
    <cfRule type="expression" dxfId="20" priority="29" stopIfTrue="1">
      <formula>$D32="(日)"</formula>
    </cfRule>
    <cfRule type="expression" dxfId="19" priority="31" stopIfTrue="1">
      <formula>$B32=""</formula>
    </cfRule>
  </conditionalFormatting>
  <conditionalFormatting sqref="E24:F24 E26:F26 E28:F28 E30:F30">
    <cfRule type="expression" dxfId="18" priority="16" stopIfTrue="1">
      <formula>$F24="(土)"</formula>
    </cfRule>
    <cfRule type="expression" dxfId="17" priority="17" stopIfTrue="1">
      <formula>$F24="(日)"</formula>
    </cfRule>
  </conditionalFormatting>
  <conditionalFormatting sqref="E32:F32">
    <cfRule type="expression" dxfId="16" priority="30" stopIfTrue="1">
      <formula>$D32="(金)"</formula>
    </cfRule>
  </conditionalFormatting>
  <conditionalFormatting sqref="G24:H24 G26:H26 G28:H28 G30:H30">
    <cfRule type="expression" dxfId="15" priority="18" stopIfTrue="1">
      <formula>$H24="(土)"</formula>
    </cfRule>
    <cfRule type="expression" dxfId="14" priority="19" stopIfTrue="1">
      <formula>$H24="(日)"</formula>
    </cfRule>
  </conditionalFormatting>
  <conditionalFormatting sqref="I24:J24 I26:J26 I28:J28 I30:J30">
    <cfRule type="expression" dxfId="13" priority="20" stopIfTrue="1">
      <formula>$J24="(土)"</formula>
    </cfRule>
    <cfRule type="expression" dxfId="12" priority="21" stopIfTrue="1">
      <formula>$J24="(日)"</formula>
    </cfRule>
  </conditionalFormatting>
  <conditionalFormatting sqref="K24:L24 K26:L26 K28:L28 K30:L30">
    <cfRule type="expression" dxfId="11" priority="22" stopIfTrue="1">
      <formula>$L24="(土)"</formula>
    </cfRule>
    <cfRule type="expression" dxfId="10" priority="23" stopIfTrue="1">
      <formula>$L24="(日)"</formula>
    </cfRule>
  </conditionalFormatting>
  <conditionalFormatting sqref="M24:N24 M26:N26 M28:N28 M30:N30">
    <cfRule type="expression" dxfId="9" priority="24" stopIfTrue="1">
      <formula>$N24="(土)"</formula>
    </cfRule>
    <cfRule type="expression" dxfId="8" priority="25" stopIfTrue="1">
      <formula>$N24="(日)"</formula>
    </cfRule>
  </conditionalFormatting>
  <conditionalFormatting sqref="P23:IV23">
    <cfRule type="expression" dxfId="7" priority="13" stopIfTrue="1">
      <formula>$B$24="土"</formula>
    </cfRule>
  </conditionalFormatting>
  <dataValidations count="3">
    <dataValidation type="list" allowBlank="1" showInputMessage="1" showErrorMessage="1" sqref="D13" xr:uid="{00000000-0002-0000-0100-000000000000}">
      <formula1>$N$12:$N$15</formula1>
    </dataValidation>
    <dataValidation type="whole" operator="greaterThan" allowBlank="1" showInputMessage="1" showErrorMessage="1" sqref="A22" xr:uid="{00000000-0002-0000-0100-000001000000}">
      <formula1>2007</formula1>
    </dataValidation>
    <dataValidation type="whole" allowBlank="1" showInputMessage="1" showErrorMessage="1" sqref="C22" xr:uid="{00000000-0002-0000-0100-000002000000}">
      <formula1>1</formula1>
      <formula2>12</formula2>
    </dataValidation>
  </dataValidation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8"/>
  <sheetViews>
    <sheetView topLeftCell="A9" workbookViewId="0">
      <selection activeCell="I19" sqref="I19"/>
    </sheetView>
  </sheetViews>
  <sheetFormatPr defaultColWidth="7.54296875" defaultRowHeight="19.8"/>
  <cols>
    <col min="1" max="1" width="3.54296875" style="22" customWidth="1"/>
    <col min="2" max="2" width="4" style="151" customWidth="1"/>
    <col min="3" max="3" width="6.453125" style="151" customWidth="1"/>
    <col min="4" max="4" width="2.36328125" style="151" customWidth="1"/>
    <col min="5" max="5" width="6.08984375" style="151" customWidth="1"/>
    <col min="6" max="6" width="12.08984375" style="151" customWidth="1"/>
    <col min="7" max="7" width="4" style="151" customWidth="1"/>
    <col min="8" max="8" width="1.08984375" style="34" customWidth="1"/>
    <col min="9" max="9" width="40.453125" style="151" customWidth="1"/>
  </cols>
  <sheetData>
    <row r="1" spans="1:20">
      <c r="A1" s="200" t="s">
        <v>82</v>
      </c>
      <c r="B1" s="165"/>
      <c r="C1" s="165"/>
      <c r="D1" s="165"/>
      <c r="E1" s="165"/>
      <c r="F1" s="165"/>
      <c r="G1" s="165"/>
      <c r="H1" s="165"/>
      <c r="I1" s="165"/>
    </row>
    <row r="3" spans="1:20">
      <c r="B3" s="35"/>
      <c r="E3" s="36" t="str">
        <f>活動計画書!E3</f>
        <v>令和7年 4月</v>
      </c>
      <c r="G3" s="37" t="s">
        <v>83</v>
      </c>
      <c r="H3" s="38"/>
      <c r="I3" s="39" t="str">
        <f>活動計画書!G3</f>
        <v>電子計算機部</v>
      </c>
      <c r="T3" s="40"/>
    </row>
    <row r="4" spans="1:20">
      <c r="I4" s="148" t="s">
        <v>84</v>
      </c>
    </row>
    <row r="5" spans="1:20">
      <c r="A5" s="147"/>
      <c r="B5" s="147"/>
      <c r="C5" s="147"/>
      <c r="D5" s="147"/>
      <c r="E5" s="147"/>
      <c r="F5" s="147"/>
      <c r="G5" s="147"/>
      <c r="H5" s="147"/>
      <c r="I5" s="147" t="s">
        <v>85</v>
      </c>
    </row>
    <row r="6" spans="1:20">
      <c r="A6" s="41" t="s">
        <v>5</v>
      </c>
      <c r="B6" s="42" t="s">
        <v>6</v>
      </c>
      <c r="C6" s="158" t="s">
        <v>7</v>
      </c>
      <c r="D6" s="159"/>
      <c r="E6" s="160"/>
      <c r="F6" s="42" t="s">
        <v>8</v>
      </c>
      <c r="G6" s="158" t="s">
        <v>86</v>
      </c>
      <c r="H6" s="160"/>
      <c r="I6" s="42" t="s">
        <v>87</v>
      </c>
    </row>
    <row r="7" spans="1:20" ht="21" customHeight="1">
      <c r="A7" s="45">
        <v>1</v>
      </c>
      <c r="B7" s="42" t="str">
        <f>活動計画書!B7</f>
        <v>(火)</v>
      </c>
      <c r="C7" s="46">
        <f>IF(活動計画書!C7="","",活動計画書!C7)</f>
        <v>0.625</v>
      </c>
      <c r="D7" s="47" t="s">
        <v>88</v>
      </c>
      <c r="E7" s="48">
        <f>IF(活動計画書!E7="","",活動計画書!E7)</f>
        <v>0.70833333333333337</v>
      </c>
      <c r="F7" s="49" t="str">
        <f>活動計画書!F7&amp;""</f>
        <v/>
      </c>
      <c r="G7" s="30"/>
      <c r="H7" s="50" t="s">
        <v>89</v>
      </c>
      <c r="I7" s="51"/>
    </row>
    <row r="8" spans="1:20" ht="21" customHeight="1">
      <c r="A8" s="45">
        <v>2</v>
      </c>
      <c r="B8" s="43" t="str">
        <f>活動計画書!B8</f>
        <v>(水)</v>
      </c>
      <c r="C8" s="46" t="str">
        <f>IF(活動計画書!C8="","",活動計画書!C8)</f>
        <v/>
      </c>
      <c r="D8" s="47" t="s">
        <v>88</v>
      </c>
      <c r="E8" s="48" t="str">
        <f>IF(活動計画書!E8="","",活動計画書!E8)</f>
        <v/>
      </c>
      <c r="F8" s="49" t="str">
        <f>活動計画書!F8&amp;""</f>
        <v/>
      </c>
      <c r="G8" s="30"/>
      <c r="H8" s="50" t="s">
        <v>89</v>
      </c>
      <c r="I8" s="52"/>
    </row>
    <row r="9" spans="1:20" ht="21" customHeight="1">
      <c r="A9" s="45">
        <v>3</v>
      </c>
      <c r="B9" s="43" t="str">
        <f>活動計画書!B9</f>
        <v>(木)</v>
      </c>
      <c r="C9" s="46" t="str">
        <f>IF(活動計画書!C9="","",活動計画書!C9)</f>
        <v/>
      </c>
      <c r="D9" s="47" t="s">
        <v>88</v>
      </c>
      <c r="E9" s="48" t="str">
        <f>IF(活動計画書!E9="","",活動計画書!E9)</f>
        <v/>
      </c>
      <c r="F9" s="49" t="str">
        <f>活動計画書!F9&amp;""</f>
        <v/>
      </c>
      <c r="G9" s="30"/>
      <c r="H9" s="50" t="s">
        <v>89</v>
      </c>
      <c r="I9" s="52"/>
    </row>
    <row r="10" spans="1:20" ht="21" customHeight="1">
      <c r="A10" s="45">
        <v>4</v>
      </c>
      <c r="B10" s="43" t="str">
        <f>活動計画書!B10</f>
        <v>(金)</v>
      </c>
      <c r="C10" s="46" t="str">
        <f>IF(活動計画書!C10="","",活動計画書!C10)</f>
        <v/>
      </c>
      <c r="D10" s="47" t="s">
        <v>88</v>
      </c>
      <c r="E10" s="48" t="str">
        <f>IF(活動計画書!E10="","",活動計画書!E10)</f>
        <v/>
      </c>
      <c r="F10" s="49" t="str">
        <f>活動計画書!F10&amp;""</f>
        <v/>
      </c>
      <c r="G10" s="30"/>
      <c r="H10" s="50" t="s">
        <v>89</v>
      </c>
      <c r="I10" s="52"/>
    </row>
    <row r="11" spans="1:20" ht="21" customHeight="1">
      <c r="A11" s="45">
        <v>5</v>
      </c>
      <c r="B11" s="43" t="str">
        <f>活動計画書!B11</f>
        <v>(土)</v>
      </c>
      <c r="C11" s="46" t="str">
        <f>IF(活動計画書!C11="","",活動計画書!C11)</f>
        <v/>
      </c>
      <c r="D11" s="47" t="s">
        <v>88</v>
      </c>
      <c r="E11" s="48" t="str">
        <f>IF(活動計画書!E11="","",活動計画書!E11)</f>
        <v/>
      </c>
      <c r="F11" s="49" t="str">
        <f>活動計画書!F11&amp;""</f>
        <v/>
      </c>
      <c r="G11" s="30"/>
      <c r="H11" s="50" t="s">
        <v>89</v>
      </c>
      <c r="I11" s="52"/>
    </row>
    <row r="12" spans="1:20" ht="21" customHeight="1">
      <c r="A12" s="53">
        <v>6</v>
      </c>
      <c r="B12" s="43" t="str">
        <f>活動計画書!B12</f>
        <v>(日)</v>
      </c>
      <c r="C12" s="46" t="str">
        <f>IF(活動計画書!C12="","",活動計画書!C12)</f>
        <v/>
      </c>
      <c r="D12" s="47" t="s">
        <v>88</v>
      </c>
      <c r="E12" s="48" t="str">
        <f>IF(活動計画書!E12="","",活動計画書!E12)</f>
        <v/>
      </c>
      <c r="F12" s="49" t="str">
        <f>活動計画書!F12&amp;""</f>
        <v/>
      </c>
      <c r="G12" s="30"/>
      <c r="H12" s="50" t="s">
        <v>89</v>
      </c>
      <c r="I12" s="52"/>
    </row>
    <row r="13" spans="1:20" ht="21" customHeight="1">
      <c r="A13" s="53">
        <v>7</v>
      </c>
      <c r="B13" s="43" t="str">
        <f>活動計画書!B13</f>
        <v>(月)</v>
      </c>
      <c r="C13" s="46" t="str">
        <f>IF(活動計画書!C13="","",活動計画書!C13)</f>
        <v/>
      </c>
      <c r="D13" s="47" t="s">
        <v>88</v>
      </c>
      <c r="E13" s="48" t="str">
        <f>IF(活動計画書!E13="","",活動計画書!E13)</f>
        <v/>
      </c>
      <c r="F13" s="49" t="str">
        <f>活動計画書!F13&amp;""</f>
        <v/>
      </c>
      <c r="G13" s="30"/>
      <c r="H13" s="50" t="s">
        <v>89</v>
      </c>
      <c r="I13" s="52"/>
    </row>
    <row r="14" spans="1:20" ht="21" customHeight="1">
      <c r="A14" s="45">
        <v>8</v>
      </c>
      <c r="B14" s="43" t="str">
        <f>活動計画書!B14</f>
        <v>(火)</v>
      </c>
      <c r="C14" s="46" t="str">
        <f>IF(活動計画書!C14="","",活動計画書!C14)</f>
        <v/>
      </c>
      <c r="D14" s="47" t="s">
        <v>88</v>
      </c>
      <c r="E14" s="48" t="str">
        <f>IF(活動計画書!E14="","",活動計画書!E14)</f>
        <v/>
      </c>
      <c r="F14" s="49" t="str">
        <f>活動計画書!F14&amp;""</f>
        <v/>
      </c>
      <c r="G14" s="30"/>
      <c r="H14" s="50" t="s">
        <v>89</v>
      </c>
      <c r="I14" s="52"/>
    </row>
    <row r="15" spans="1:20" ht="21" customHeight="1">
      <c r="A15" s="45">
        <v>9</v>
      </c>
      <c r="B15" s="43" t="str">
        <f>活動計画書!B15</f>
        <v>(水)</v>
      </c>
      <c r="C15" s="46" t="str">
        <f>IF(活動計画書!C15="","",活動計画書!C15)</f>
        <v/>
      </c>
      <c r="D15" s="47" t="s">
        <v>88</v>
      </c>
      <c r="E15" s="48" t="str">
        <f>IF(活動計画書!E15="","",活動計画書!E15)</f>
        <v/>
      </c>
      <c r="F15" s="49" t="str">
        <f>活動計画書!F15&amp;""</f>
        <v/>
      </c>
      <c r="G15" s="30"/>
      <c r="H15" s="50" t="s">
        <v>89</v>
      </c>
      <c r="I15" s="52"/>
    </row>
    <row r="16" spans="1:20" ht="21" customHeight="1">
      <c r="A16" s="45">
        <v>10</v>
      </c>
      <c r="B16" s="43" t="str">
        <f>活動計画書!B16</f>
        <v>(木)</v>
      </c>
      <c r="C16" s="46" t="str">
        <f>IF(活動計画書!C16="","",活動計画書!C16)</f>
        <v/>
      </c>
      <c r="D16" s="47" t="s">
        <v>88</v>
      </c>
      <c r="E16" s="48" t="str">
        <f>IF(活動計画書!E16="","",活動計画書!E16)</f>
        <v/>
      </c>
      <c r="F16" s="49" t="str">
        <f>活動計画書!F16&amp;""</f>
        <v/>
      </c>
      <c r="G16" s="30"/>
      <c r="H16" s="50" t="s">
        <v>89</v>
      </c>
      <c r="I16" s="52"/>
    </row>
    <row r="17" spans="1:9" ht="21" customHeight="1">
      <c r="A17" s="45">
        <v>11</v>
      </c>
      <c r="B17" s="43" t="str">
        <f>活動計画書!B17</f>
        <v>(金)</v>
      </c>
      <c r="C17" s="46" t="str">
        <f>IF(活動計画書!C17="","",活動計画書!C17)</f>
        <v/>
      </c>
      <c r="D17" s="47" t="s">
        <v>88</v>
      </c>
      <c r="E17" s="48" t="str">
        <f>IF(活動計画書!E17="","",活動計画書!E17)</f>
        <v/>
      </c>
      <c r="F17" s="49" t="str">
        <f>活動計画書!F17&amp;""</f>
        <v/>
      </c>
      <c r="G17" s="30"/>
      <c r="H17" s="50" t="s">
        <v>89</v>
      </c>
      <c r="I17" s="52"/>
    </row>
    <row r="18" spans="1:9" ht="21" customHeight="1">
      <c r="A18" s="45">
        <v>12</v>
      </c>
      <c r="B18" s="43" t="str">
        <f>活動計画書!B18</f>
        <v>(土)</v>
      </c>
      <c r="C18" s="46" t="str">
        <f>IF(活動計画書!C18="","",活動計画書!C18)</f>
        <v/>
      </c>
      <c r="D18" s="47" t="s">
        <v>88</v>
      </c>
      <c r="E18" s="48" t="str">
        <f>IF(活動計画書!E18="","",活動計画書!E18)</f>
        <v/>
      </c>
      <c r="F18" s="49" t="str">
        <f>活動計画書!F18&amp;""</f>
        <v/>
      </c>
      <c r="G18" s="30"/>
      <c r="H18" s="50" t="s">
        <v>89</v>
      </c>
      <c r="I18" s="52"/>
    </row>
    <row r="19" spans="1:9" ht="21" customHeight="1">
      <c r="A19" s="45">
        <v>13</v>
      </c>
      <c r="B19" s="43" t="str">
        <f>活動計画書!B19</f>
        <v>(日)</v>
      </c>
      <c r="C19" s="46" t="str">
        <f>IF(活動計画書!C19="","",活動計画書!C19)</f>
        <v/>
      </c>
      <c r="D19" s="47" t="s">
        <v>88</v>
      </c>
      <c r="E19" s="48" t="str">
        <f>IF(活動計画書!E19="","",活動計画書!E19)</f>
        <v/>
      </c>
      <c r="F19" s="49" t="str">
        <f>活動計画書!F19&amp;""</f>
        <v/>
      </c>
      <c r="G19" s="30"/>
      <c r="H19" s="50" t="s">
        <v>89</v>
      </c>
      <c r="I19" s="52"/>
    </row>
    <row r="20" spans="1:9" ht="21" customHeight="1">
      <c r="A20" s="45">
        <v>14</v>
      </c>
      <c r="B20" s="43" t="str">
        <f>活動計画書!B20</f>
        <v>(月)</v>
      </c>
      <c r="C20" s="46" t="str">
        <f>IF(活動計画書!C20="","",活動計画書!C20)</f>
        <v/>
      </c>
      <c r="D20" s="47" t="s">
        <v>88</v>
      </c>
      <c r="E20" s="48" t="str">
        <f>IF(活動計画書!E20="","",活動計画書!E20)</f>
        <v/>
      </c>
      <c r="F20" s="49" t="str">
        <f>活動計画書!F20&amp;""</f>
        <v/>
      </c>
      <c r="G20" s="30"/>
      <c r="H20" s="50" t="s">
        <v>89</v>
      </c>
      <c r="I20" s="52"/>
    </row>
    <row r="21" spans="1:9" ht="21" customHeight="1">
      <c r="A21" s="45">
        <v>15</v>
      </c>
      <c r="B21" s="43" t="str">
        <f>活動計画書!B21</f>
        <v>(火)</v>
      </c>
      <c r="C21" s="46" t="str">
        <f>IF(活動計画書!C21="","",活動計画書!C21)</f>
        <v/>
      </c>
      <c r="D21" s="47" t="s">
        <v>88</v>
      </c>
      <c r="E21" s="48" t="str">
        <f>IF(活動計画書!E21="","",活動計画書!E21)</f>
        <v/>
      </c>
      <c r="F21" s="49" t="str">
        <f>活動計画書!F21&amp;""</f>
        <v/>
      </c>
      <c r="G21" s="30"/>
      <c r="H21" s="50" t="s">
        <v>89</v>
      </c>
      <c r="I21" s="52"/>
    </row>
    <row r="22" spans="1:9" ht="21" customHeight="1">
      <c r="A22" s="45">
        <v>16</v>
      </c>
      <c r="B22" s="43" t="str">
        <f>活動計画書!B22</f>
        <v>(水)</v>
      </c>
      <c r="C22" s="46" t="str">
        <f>IF(活動計画書!C22="","",活動計画書!C22)</f>
        <v/>
      </c>
      <c r="D22" s="47" t="s">
        <v>88</v>
      </c>
      <c r="E22" s="48" t="str">
        <f>IF(活動計画書!E22="","",活動計画書!E22)</f>
        <v/>
      </c>
      <c r="F22" s="49" t="str">
        <f>活動計画書!F22&amp;""</f>
        <v/>
      </c>
      <c r="G22" s="30"/>
      <c r="H22" s="50" t="s">
        <v>89</v>
      </c>
      <c r="I22" s="52"/>
    </row>
    <row r="23" spans="1:9" ht="21" customHeight="1">
      <c r="A23" s="45">
        <v>17</v>
      </c>
      <c r="B23" s="43" t="str">
        <f>活動計画書!B23</f>
        <v>(木)</v>
      </c>
      <c r="C23" s="46" t="str">
        <f>IF(活動計画書!C23="","",活動計画書!C23)</f>
        <v/>
      </c>
      <c r="D23" s="47" t="s">
        <v>88</v>
      </c>
      <c r="E23" s="48" t="str">
        <f>IF(活動計画書!E23="","",活動計画書!E23)</f>
        <v/>
      </c>
      <c r="F23" s="49" t="str">
        <f>活動計画書!F23&amp;""</f>
        <v/>
      </c>
      <c r="G23" s="30"/>
      <c r="H23" s="50" t="s">
        <v>89</v>
      </c>
      <c r="I23" s="52"/>
    </row>
    <row r="24" spans="1:9" ht="21" customHeight="1">
      <c r="A24" s="45">
        <v>18</v>
      </c>
      <c r="B24" s="43" t="str">
        <f>活動計画書!B24</f>
        <v>(金)</v>
      </c>
      <c r="C24" s="46" t="str">
        <f>IF(活動計画書!C24="","",活動計画書!C24)</f>
        <v/>
      </c>
      <c r="D24" s="47" t="s">
        <v>88</v>
      </c>
      <c r="E24" s="48" t="str">
        <f>IF(活動計画書!E24="","",活動計画書!E24)</f>
        <v/>
      </c>
      <c r="F24" s="49" t="str">
        <f>活動計画書!F24&amp;""</f>
        <v/>
      </c>
      <c r="G24" s="30"/>
      <c r="H24" s="50" t="s">
        <v>89</v>
      </c>
      <c r="I24" s="52"/>
    </row>
    <row r="25" spans="1:9" ht="21" customHeight="1">
      <c r="A25" s="45">
        <v>19</v>
      </c>
      <c r="B25" s="43" t="str">
        <f>活動計画書!B25</f>
        <v>(土)</v>
      </c>
      <c r="C25" s="46" t="str">
        <f>IF(活動計画書!C25="","",活動計画書!C25)</f>
        <v/>
      </c>
      <c r="D25" s="47" t="s">
        <v>88</v>
      </c>
      <c r="E25" s="48" t="str">
        <f>IF(活動計画書!E25="","",活動計画書!E25)</f>
        <v/>
      </c>
      <c r="F25" s="49" t="str">
        <f>活動計画書!F25&amp;""</f>
        <v/>
      </c>
      <c r="G25" s="30"/>
      <c r="H25" s="50" t="s">
        <v>89</v>
      </c>
      <c r="I25" s="52"/>
    </row>
    <row r="26" spans="1:9" ht="21" customHeight="1">
      <c r="A26" s="45">
        <v>20</v>
      </c>
      <c r="B26" s="43" t="str">
        <f>活動計画書!B26</f>
        <v>(日)</v>
      </c>
      <c r="C26" s="46" t="str">
        <f>IF(活動計画書!C26="","",活動計画書!C26)</f>
        <v/>
      </c>
      <c r="D26" s="47" t="s">
        <v>88</v>
      </c>
      <c r="E26" s="48" t="str">
        <f>IF(活動計画書!E26="","",活動計画書!E26)</f>
        <v/>
      </c>
      <c r="F26" s="49" t="str">
        <f>活動計画書!F26&amp;""</f>
        <v/>
      </c>
      <c r="G26" s="30"/>
      <c r="H26" s="50" t="s">
        <v>89</v>
      </c>
      <c r="I26" s="52"/>
    </row>
    <row r="27" spans="1:9" ht="21" customHeight="1">
      <c r="A27" s="45">
        <v>21</v>
      </c>
      <c r="B27" s="43" t="str">
        <f>活動計画書!B27</f>
        <v>(月)</v>
      </c>
      <c r="C27" s="46" t="str">
        <f>IF(活動計画書!C27="","",活動計画書!C27)</f>
        <v/>
      </c>
      <c r="D27" s="47" t="s">
        <v>88</v>
      </c>
      <c r="E27" s="48" t="str">
        <f>IF(活動計画書!E27="","",活動計画書!E27)</f>
        <v/>
      </c>
      <c r="F27" s="49" t="str">
        <f>活動計画書!F27&amp;""</f>
        <v/>
      </c>
      <c r="G27" s="30"/>
      <c r="H27" s="50" t="s">
        <v>89</v>
      </c>
      <c r="I27" s="52"/>
    </row>
    <row r="28" spans="1:9" ht="21" customHeight="1">
      <c r="A28" s="45">
        <v>22</v>
      </c>
      <c r="B28" s="43" t="str">
        <f>活動計画書!B28</f>
        <v>(火)</v>
      </c>
      <c r="C28" s="46" t="str">
        <f>IF(活動計画書!C28="","",活動計画書!C28)</f>
        <v/>
      </c>
      <c r="D28" s="47" t="s">
        <v>88</v>
      </c>
      <c r="E28" s="48" t="str">
        <f>IF(活動計画書!E28="","",活動計画書!E28)</f>
        <v/>
      </c>
      <c r="F28" s="49" t="str">
        <f>活動計画書!F28&amp;""</f>
        <v/>
      </c>
      <c r="G28" s="30"/>
      <c r="H28" s="50" t="s">
        <v>89</v>
      </c>
      <c r="I28" s="52"/>
    </row>
    <row r="29" spans="1:9" ht="21" customHeight="1">
      <c r="A29" s="45">
        <v>23</v>
      </c>
      <c r="B29" s="43" t="str">
        <f>活動計画書!B29</f>
        <v>(水)</v>
      </c>
      <c r="C29" s="46" t="str">
        <f>IF(活動計画書!C29="","",活動計画書!C29)</f>
        <v/>
      </c>
      <c r="D29" s="47" t="s">
        <v>88</v>
      </c>
      <c r="E29" s="48" t="str">
        <f>IF(活動計画書!E29="","",活動計画書!E29)</f>
        <v/>
      </c>
      <c r="F29" s="49" t="str">
        <f>活動計画書!F29&amp;""</f>
        <v/>
      </c>
      <c r="G29" s="30"/>
      <c r="H29" s="50" t="s">
        <v>89</v>
      </c>
      <c r="I29" s="52"/>
    </row>
    <row r="30" spans="1:9" ht="21" customHeight="1">
      <c r="A30" s="45">
        <v>24</v>
      </c>
      <c r="B30" s="43" t="str">
        <f>活動計画書!B30</f>
        <v>(木)</v>
      </c>
      <c r="C30" s="46" t="str">
        <f>IF(活動計画書!C30="","",活動計画書!C30)</f>
        <v/>
      </c>
      <c r="D30" s="47" t="s">
        <v>88</v>
      </c>
      <c r="E30" s="48" t="str">
        <f>IF(活動計画書!E30="","",活動計画書!E30)</f>
        <v/>
      </c>
      <c r="F30" s="49" t="str">
        <f>活動計画書!F30&amp;""</f>
        <v/>
      </c>
      <c r="G30" s="30"/>
      <c r="H30" s="50" t="s">
        <v>89</v>
      </c>
      <c r="I30" s="52"/>
    </row>
    <row r="31" spans="1:9" ht="21" customHeight="1">
      <c r="A31" s="45">
        <v>25</v>
      </c>
      <c r="B31" s="43" t="str">
        <f>活動計画書!B31</f>
        <v>(金)</v>
      </c>
      <c r="C31" s="46" t="str">
        <f>IF(活動計画書!C31="","",活動計画書!C31)</f>
        <v/>
      </c>
      <c r="D31" s="47" t="s">
        <v>88</v>
      </c>
      <c r="E31" s="48" t="str">
        <f>IF(活動計画書!E31="","",活動計画書!E31)</f>
        <v/>
      </c>
      <c r="F31" s="49" t="str">
        <f>活動計画書!F31&amp;""</f>
        <v/>
      </c>
      <c r="G31" s="30"/>
      <c r="H31" s="50" t="s">
        <v>89</v>
      </c>
      <c r="I31" s="52"/>
    </row>
    <row r="32" spans="1:9" ht="21" customHeight="1">
      <c r="A32" s="45">
        <v>26</v>
      </c>
      <c r="B32" s="43" t="str">
        <f>活動計画書!B32</f>
        <v>(土)</v>
      </c>
      <c r="C32" s="46" t="str">
        <f>IF(活動計画書!C32="","",活動計画書!C32)</f>
        <v/>
      </c>
      <c r="D32" s="47" t="s">
        <v>88</v>
      </c>
      <c r="E32" s="48" t="str">
        <f>IF(活動計画書!E32="","",活動計画書!E32)</f>
        <v/>
      </c>
      <c r="F32" s="49" t="str">
        <f>活動計画書!F32&amp;""</f>
        <v/>
      </c>
      <c r="G32" s="30"/>
      <c r="H32" s="50" t="s">
        <v>89</v>
      </c>
      <c r="I32" s="52"/>
    </row>
    <row r="33" spans="1:20" ht="21" customHeight="1">
      <c r="A33" s="45">
        <v>27</v>
      </c>
      <c r="B33" s="43" t="str">
        <f>活動計画書!B33</f>
        <v>(日)</v>
      </c>
      <c r="C33" s="46" t="str">
        <f>IF(活動計画書!C33="","",活動計画書!C33)</f>
        <v/>
      </c>
      <c r="D33" s="47" t="s">
        <v>88</v>
      </c>
      <c r="E33" s="48" t="str">
        <f>IF(活動計画書!E33="","",活動計画書!E33)</f>
        <v/>
      </c>
      <c r="F33" s="49" t="str">
        <f>活動計画書!F33&amp;""</f>
        <v/>
      </c>
      <c r="G33" s="30"/>
      <c r="H33" s="50" t="s">
        <v>89</v>
      </c>
      <c r="I33" s="52"/>
    </row>
    <row r="34" spans="1:20" ht="21" customHeight="1">
      <c r="A34" s="45">
        <v>28</v>
      </c>
      <c r="B34" s="43" t="str">
        <f>活動計画書!B34</f>
        <v>(月)</v>
      </c>
      <c r="C34" s="46" t="str">
        <f>IF(活動計画書!C34="","",活動計画書!C34)</f>
        <v/>
      </c>
      <c r="D34" s="47" t="s">
        <v>88</v>
      </c>
      <c r="E34" s="48" t="str">
        <f>IF(活動計画書!E34="","",活動計画書!E34)</f>
        <v/>
      </c>
      <c r="F34" s="49" t="str">
        <f>活動計画書!F34&amp;""</f>
        <v/>
      </c>
      <c r="G34" s="30"/>
      <c r="H34" s="50" t="s">
        <v>89</v>
      </c>
      <c r="I34" s="52"/>
    </row>
    <row r="35" spans="1:20" ht="21" customHeight="1">
      <c r="A35" s="45">
        <f>活動計画書!A35</f>
        <v>29</v>
      </c>
      <c r="B35" s="43" t="str">
        <f>活動計画書!B35</f>
        <v>(火)</v>
      </c>
      <c r="C35" s="46" t="str">
        <f>IF(活動計画書!C35="","",活動計画書!C35)</f>
        <v/>
      </c>
      <c r="D35" s="47" t="s">
        <v>88</v>
      </c>
      <c r="E35" s="48" t="str">
        <f>IF(活動計画書!E35="","",活動計画書!E35)</f>
        <v/>
      </c>
      <c r="F35" s="49" t="str">
        <f>活動計画書!F35&amp;""</f>
        <v/>
      </c>
      <c r="G35" s="30"/>
      <c r="H35" s="50" t="s">
        <v>89</v>
      </c>
      <c r="I35" s="52"/>
    </row>
    <row r="36" spans="1:20" ht="21" customHeight="1">
      <c r="A36" s="45">
        <f>活動計画書!A36</f>
        <v>30</v>
      </c>
      <c r="B36" s="43" t="str">
        <f>活動計画書!B36</f>
        <v>(水)</v>
      </c>
      <c r="C36" s="46" t="str">
        <f>IF(活動計画書!C36="","",活動計画書!C36)</f>
        <v/>
      </c>
      <c r="D36" s="47" t="s">
        <v>88</v>
      </c>
      <c r="E36" s="48" t="str">
        <f>IF(活動計画書!E36="","",活動計画書!E36)</f>
        <v/>
      </c>
      <c r="F36" s="49" t="str">
        <f>活動計画書!F36&amp;""</f>
        <v/>
      </c>
      <c r="G36" s="30"/>
      <c r="H36" s="50" t="s">
        <v>89</v>
      </c>
      <c r="I36" s="52"/>
    </row>
    <row r="37" spans="1:20" ht="21" customHeight="1">
      <c r="A37" s="45" t="str">
        <f>活動計画書!A37</f>
        <v/>
      </c>
      <c r="B37" s="43" t="str">
        <f>活動計画書!B37</f>
        <v/>
      </c>
      <c r="C37" s="46" t="str">
        <f>IF(活動計画書!C37="","",活動計画書!C37)</f>
        <v/>
      </c>
      <c r="D37" s="47" t="s">
        <v>88</v>
      </c>
      <c r="E37" s="48" t="str">
        <f>IF(活動計画書!E37="","",活動計画書!E37)</f>
        <v/>
      </c>
      <c r="F37" s="49" t="str">
        <f>活動計画書!F37&amp;""</f>
        <v/>
      </c>
      <c r="G37" s="30"/>
      <c r="H37" s="50" t="s">
        <v>89</v>
      </c>
      <c r="I37" s="54"/>
    </row>
    <row r="38" spans="1:20" ht="20.100000000000001" customHeight="1">
      <c r="A38" s="201" t="s">
        <v>90</v>
      </c>
      <c r="B38" s="153"/>
      <c r="C38" s="153"/>
      <c r="D38" s="153"/>
      <c r="E38" s="153"/>
      <c r="F38" s="153"/>
      <c r="G38" s="153"/>
      <c r="H38" s="202"/>
      <c r="I38" s="153"/>
      <c r="T38" s="22"/>
    </row>
  </sheetData>
  <mergeCells count="4">
    <mergeCell ref="A1:I1"/>
    <mergeCell ref="C6:E6"/>
    <mergeCell ref="A38:I38"/>
    <mergeCell ref="G6:H6"/>
  </mergeCells>
  <phoneticPr fontId="2"/>
  <conditionalFormatting sqref="A7:H37">
    <cfRule type="expression" dxfId="6" priority="2" stopIfTrue="1">
      <formula>$B7="(土)"</formula>
    </cfRule>
    <cfRule type="expression" dxfId="5" priority="3" stopIfTrue="1">
      <formula>$B7="(日)"</formula>
    </cfRule>
    <cfRule type="expression" dxfId="4" priority="4" stopIfTrue="1">
      <formula>$A7=""</formula>
    </cfRule>
  </conditionalFormatting>
  <conditionalFormatting sqref="I7:I34">
    <cfRule type="expression" dxfId="3" priority="1" stopIfTrue="1">
      <formula>B7="(日)"</formula>
    </cfRule>
  </conditionalFormatting>
  <conditionalFormatting sqref="I35:I37">
    <cfRule type="expression" dxfId="2" priority="5" stopIfTrue="1">
      <formula>B35="(日)"</formula>
    </cfRule>
    <cfRule type="expression" dxfId="1" priority="6" stopIfTrue="1">
      <formula>B35=""</formula>
    </cfRule>
    <cfRule type="expression" dxfId="0" priority="7" stopIfTrue="1">
      <formula>B36=""</formula>
    </cfRule>
  </conditionalFormatting>
  <dataValidations count="1">
    <dataValidation type="list" allowBlank="1" showInputMessage="1" showErrorMessage="1" sqref="H3" xr:uid="{00000000-0002-0000-0200-000000000000}">
      <formula1>$K$11:$K$40</formula1>
    </dataValidation>
  </dataValidation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42"/>
  <sheetViews>
    <sheetView workbookViewId="0">
      <selection activeCell="H18" sqref="H18"/>
    </sheetView>
  </sheetViews>
  <sheetFormatPr defaultColWidth="7.54296875" defaultRowHeight="19.8"/>
  <cols>
    <col min="1" max="1" width="3.54296875" style="151" customWidth="1"/>
    <col min="2" max="2" width="4" style="151" customWidth="1"/>
    <col min="3" max="3" width="4.90625" style="151" customWidth="1"/>
    <col min="4" max="4" width="2.36328125" style="151" customWidth="1"/>
    <col min="5" max="5" width="4.90625" style="151" customWidth="1"/>
    <col min="6" max="6" width="7.453125" style="151" customWidth="1"/>
    <col min="7" max="7" width="4.90625" style="151" customWidth="1"/>
    <col min="8" max="8" width="37.453125" style="151" customWidth="1"/>
    <col min="9" max="9" width="2.36328125" style="151" customWidth="1"/>
    <col min="10" max="12" width="4" style="151" customWidth="1"/>
    <col min="13" max="13" width="3.08984375" style="151" customWidth="1"/>
    <col min="14" max="14" width="4" style="151" customWidth="1"/>
    <col min="15" max="15" width="13.453125" style="151" customWidth="1"/>
    <col min="16" max="16" width="26.36328125" style="151" customWidth="1"/>
    <col min="17" max="17" width="9.08984375" style="151" customWidth="1"/>
  </cols>
  <sheetData>
    <row r="1" spans="1:17">
      <c r="A1" s="203">
        <v>43961</v>
      </c>
      <c r="B1" s="153"/>
      <c r="C1" s="153"/>
      <c r="D1" s="153"/>
      <c r="E1" s="153"/>
      <c r="F1" s="153"/>
      <c r="G1" s="153"/>
      <c r="H1" s="153"/>
      <c r="J1" s="203">
        <v>43915</v>
      </c>
      <c r="K1" s="153"/>
      <c r="L1" s="153"/>
      <c r="M1" s="153"/>
      <c r="N1" s="153"/>
      <c r="O1" s="153"/>
      <c r="P1" s="153"/>
      <c r="Q1" s="153"/>
    </row>
    <row r="2" spans="1:17">
      <c r="B2" s="55"/>
    </row>
    <row r="3" spans="1:17">
      <c r="B3" s="35" t="s">
        <v>91</v>
      </c>
      <c r="J3" s="35"/>
      <c r="K3" s="35" t="s">
        <v>92</v>
      </c>
      <c r="L3" s="35"/>
      <c r="M3" s="35"/>
      <c r="N3" s="35"/>
      <c r="O3" s="35"/>
      <c r="P3" s="35"/>
      <c r="Q3" s="35"/>
    </row>
    <row r="4" spans="1:17">
      <c r="A4" s="2"/>
      <c r="B4" s="56"/>
      <c r="C4" s="2"/>
      <c r="D4" s="2"/>
      <c r="E4" s="2"/>
      <c r="F4" s="2"/>
      <c r="G4" s="2"/>
      <c r="H4" s="2"/>
      <c r="J4" s="56"/>
      <c r="K4" s="56"/>
      <c r="L4" s="56"/>
      <c r="M4" s="56"/>
      <c r="N4" s="56"/>
      <c r="O4" s="56"/>
      <c r="P4" s="56"/>
      <c r="Q4" s="56"/>
    </row>
    <row r="5" spans="1:17" ht="24.75" customHeight="1">
      <c r="A5" s="191" t="s">
        <v>93</v>
      </c>
      <c r="B5" s="153"/>
      <c r="C5" s="153"/>
      <c r="D5" s="153"/>
      <c r="E5" s="153"/>
      <c r="F5" s="153"/>
      <c r="G5" s="153"/>
      <c r="H5" s="153"/>
      <c r="J5" s="191" t="s">
        <v>93</v>
      </c>
      <c r="K5" s="153"/>
      <c r="L5" s="153"/>
      <c r="M5" s="153"/>
      <c r="N5" s="153"/>
      <c r="O5" s="153"/>
      <c r="P5" s="153"/>
      <c r="Q5" s="153"/>
    </row>
    <row r="6" spans="1:17">
      <c r="A6" s="42" t="s">
        <v>5</v>
      </c>
      <c r="B6" s="42" t="s">
        <v>6</v>
      </c>
      <c r="C6" s="204" t="s">
        <v>7</v>
      </c>
      <c r="D6" s="159"/>
      <c r="E6" s="159"/>
      <c r="F6" s="42" t="s">
        <v>8</v>
      </c>
      <c r="G6" s="42" t="s">
        <v>86</v>
      </c>
      <c r="H6" s="42" t="s">
        <v>87</v>
      </c>
      <c r="J6" s="43" t="s">
        <v>5</v>
      </c>
      <c r="K6" s="43" t="s">
        <v>6</v>
      </c>
      <c r="L6" s="158" t="s">
        <v>7</v>
      </c>
      <c r="M6" s="159"/>
      <c r="N6" s="160"/>
      <c r="O6" s="44" t="s">
        <v>8</v>
      </c>
      <c r="P6" s="42" t="s">
        <v>9</v>
      </c>
      <c r="Q6" s="42" t="s">
        <v>10</v>
      </c>
    </row>
    <row r="7" spans="1:17" ht="21" customHeight="1">
      <c r="A7" s="57">
        <v>1</v>
      </c>
      <c r="B7" s="42" t="s">
        <v>94</v>
      </c>
      <c r="C7" s="58"/>
      <c r="D7" s="59"/>
      <c r="E7" s="60"/>
      <c r="F7" s="61"/>
      <c r="G7" s="62" t="s">
        <v>89</v>
      </c>
      <c r="H7" s="63"/>
      <c r="J7" s="57">
        <v>1</v>
      </c>
      <c r="K7" s="42" t="s">
        <v>94</v>
      </c>
      <c r="L7" s="64"/>
      <c r="M7" s="47" t="s">
        <v>11</v>
      </c>
      <c r="N7" s="65"/>
      <c r="O7" s="66"/>
      <c r="P7" s="67"/>
      <c r="Q7" s="68" t="s">
        <v>95</v>
      </c>
    </row>
    <row r="8" spans="1:17" ht="21" customHeight="1">
      <c r="A8" s="69">
        <f t="shared" ref="A8:A36" si="0">A7+1</f>
        <v>2</v>
      </c>
      <c r="B8" s="70" t="s">
        <v>96</v>
      </c>
      <c r="C8" s="71"/>
      <c r="D8" s="72"/>
      <c r="E8" s="71"/>
      <c r="F8" s="73"/>
      <c r="G8" s="74" t="s">
        <v>89</v>
      </c>
      <c r="H8" s="63"/>
      <c r="J8" s="69">
        <f t="shared" ref="J8:J36" si="1">J7+1</f>
        <v>2</v>
      </c>
      <c r="K8" s="70" t="s">
        <v>96</v>
      </c>
      <c r="L8" s="75"/>
      <c r="M8" s="76" t="s">
        <v>11</v>
      </c>
      <c r="N8" s="77"/>
      <c r="O8" s="78"/>
      <c r="P8" s="79"/>
      <c r="Q8" s="80" t="s">
        <v>95</v>
      </c>
    </row>
    <row r="9" spans="1:17" ht="21" customHeight="1">
      <c r="A9" s="69">
        <f t="shared" si="0"/>
        <v>3</v>
      </c>
      <c r="B9" s="70" t="s">
        <v>97</v>
      </c>
      <c r="C9" s="81"/>
      <c r="D9" s="82"/>
      <c r="E9" s="83"/>
      <c r="F9" s="84"/>
      <c r="G9" s="74" t="s">
        <v>89</v>
      </c>
      <c r="H9" s="85"/>
      <c r="J9" s="69">
        <f t="shared" si="1"/>
        <v>3</v>
      </c>
      <c r="K9" s="70" t="s">
        <v>97</v>
      </c>
      <c r="L9" s="75"/>
      <c r="M9" s="76" t="s">
        <v>11</v>
      </c>
      <c r="N9" s="77"/>
      <c r="O9" s="78"/>
      <c r="P9" s="79"/>
      <c r="Q9" s="80" t="s">
        <v>95</v>
      </c>
    </row>
    <row r="10" spans="1:17" ht="21" customHeight="1">
      <c r="A10" s="57">
        <f t="shared" si="0"/>
        <v>4</v>
      </c>
      <c r="B10" s="42" t="s">
        <v>98</v>
      </c>
      <c r="C10" s="86">
        <v>0.60416666666666663</v>
      </c>
      <c r="D10" s="87" t="s">
        <v>88</v>
      </c>
      <c r="E10" s="86">
        <v>0.70833333333333337</v>
      </c>
      <c r="F10" s="88" t="s">
        <v>99</v>
      </c>
      <c r="G10" s="62" t="s">
        <v>100</v>
      </c>
      <c r="H10" s="63" t="s">
        <v>101</v>
      </c>
      <c r="J10" s="57">
        <f t="shared" si="1"/>
        <v>4</v>
      </c>
      <c r="K10" s="42" t="s">
        <v>98</v>
      </c>
      <c r="L10" s="64">
        <v>0.60416666666666663</v>
      </c>
      <c r="M10" s="47" t="s">
        <v>11</v>
      </c>
      <c r="N10" s="89">
        <v>0.70833333333333337</v>
      </c>
      <c r="O10" s="66" t="s">
        <v>99</v>
      </c>
      <c r="P10" s="67" t="s">
        <v>102</v>
      </c>
      <c r="Q10" s="68" t="s">
        <v>95</v>
      </c>
    </row>
    <row r="11" spans="1:17" ht="21" customHeight="1">
      <c r="A11" s="57">
        <f t="shared" si="0"/>
        <v>5</v>
      </c>
      <c r="B11" s="42" t="s">
        <v>103</v>
      </c>
      <c r="C11" s="90" t="s">
        <v>104</v>
      </c>
      <c r="D11" s="91" t="s">
        <v>88</v>
      </c>
      <c r="E11" s="92" t="s">
        <v>104</v>
      </c>
      <c r="F11" s="93" t="s">
        <v>104</v>
      </c>
      <c r="G11" s="94" t="s">
        <v>105</v>
      </c>
      <c r="H11" s="63" t="s">
        <v>106</v>
      </c>
      <c r="J11" s="57">
        <f t="shared" si="1"/>
        <v>5</v>
      </c>
      <c r="K11" s="42" t="s">
        <v>103</v>
      </c>
      <c r="L11" s="95" t="s">
        <v>104</v>
      </c>
      <c r="M11" s="47" t="s">
        <v>11</v>
      </c>
      <c r="N11" s="96" t="s">
        <v>104</v>
      </c>
      <c r="O11" s="66" t="s">
        <v>104</v>
      </c>
      <c r="P11" s="67" t="s">
        <v>104</v>
      </c>
      <c r="Q11" s="68" t="s">
        <v>95</v>
      </c>
    </row>
    <row r="12" spans="1:17" ht="21" customHeight="1">
      <c r="A12" s="57">
        <f t="shared" si="0"/>
        <v>6</v>
      </c>
      <c r="B12" s="42" t="s">
        <v>107</v>
      </c>
      <c r="C12" s="97" t="s">
        <v>104</v>
      </c>
      <c r="D12" s="87" t="s">
        <v>88</v>
      </c>
      <c r="E12" s="97" t="s">
        <v>104</v>
      </c>
      <c r="F12" s="98" t="s">
        <v>104</v>
      </c>
      <c r="G12" s="94" t="s">
        <v>108</v>
      </c>
      <c r="H12" s="63" t="s">
        <v>109</v>
      </c>
      <c r="J12" s="57">
        <f t="shared" si="1"/>
        <v>6</v>
      </c>
      <c r="K12" s="42" t="s">
        <v>107</v>
      </c>
      <c r="L12" s="95" t="s">
        <v>104</v>
      </c>
      <c r="M12" s="47" t="s">
        <v>11</v>
      </c>
      <c r="N12" s="96" t="s">
        <v>104</v>
      </c>
      <c r="O12" s="66" t="s">
        <v>104</v>
      </c>
      <c r="P12" s="67" t="s">
        <v>104</v>
      </c>
      <c r="Q12" s="68" t="s">
        <v>95</v>
      </c>
    </row>
    <row r="13" spans="1:17" ht="21" customHeight="1">
      <c r="A13" s="57">
        <f t="shared" si="0"/>
        <v>7</v>
      </c>
      <c r="B13" s="42" t="s">
        <v>110</v>
      </c>
      <c r="C13" s="90" t="s">
        <v>104</v>
      </c>
      <c r="D13" s="91" t="s">
        <v>88</v>
      </c>
      <c r="E13" s="92" t="s">
        <v>104</v>
      </c>
      <c r="F13" s="93" t="s">
        <v>104</v>
      </c>
      <c r="G13" s="94" t="s">
        <v>111</v>
      </c>
      <c r="H13" s="63" t="s">
        <v>112</v>
      </c>
      <c r="J13" s="57">
        <f t="shared" si="1"/>
        <v>7</v>
      </c>
      <c r="K13" s="42" t="s">
        <v>110</v>
      </c>
      <c r="L13" s="95" t="s">
        <v>104</v>
      </c>
      <c r="M13" s="47" t="s">
        <v>11</v>
      </c>
      <c r="N13" s="96" t="s">
        <v>104</v>
      </c>
      <c r="O13" s="66" t="s">
        <v>104</v>
      </c>
      <c r="P13" s="67" t="s">
        <v>104</v>
      </c>
      <c r="Q13" s="68" t="s">
        <v>95</v>
      </c>
    </row>
    <row r="14" spans="1:17" ht="21" customHeight="1">
      <c r="A14" s="57">
        <f t="shared" si="0"/>
        <v>8</v>
      </c>
      <c r="B14" s="42" t="s">
        <v>94</v>
      </c>
      <c r="C14" s="97" t="s">
        <v>104</v>
      </c>
      <c r="D14" s="87" t="s">
        <v>88</v>
      </c>
      <c r="E14" s="97" t="s">
        <v>104</v>
      </c>
      <c r="F14" s="98" t="s">
        <v>104</v>
      </c>
      <c r="G14" s="94" t="s">
        <v>108</v>
      </c>
      <c r="H14" s="63"/>
      <c r="J14" s="57">
        <f t="shared" si="1"/>
        <v>8</v>
      </c>
      <c r="K14" s="42" t="s">
        <v>94</v>
      </c>
      <c r="L14" s="95" t="s">
        <v>104</v>
      </c>
      <c r="M14" s="47" t="s">
        <v>11</v>
      </c>
      <c r="N14" s="96" t="s">
        <v>104</v>
      </c>
      <c r="O14" s="66" t="s">
        <v>104</v>
      </c>
      <c r="P14" s="67" t="s">
        <v>104</v>
      </c>
      <c r="Q14" s="68" t="s">
        <v>95</v>
      </c>
    </row>
    <row r="15" spans="1:17" ht="21" customHeight="1">
      <c r="A15" s="69">
        <f t="shared" si="0"/>
        <v>9</v>
      </c>
      <c r="B15" s="70" t="s">
        <v>96</v>
      </c>
      <c r="C15" s="99"/>
      <c r="D15" s="100" t="s">
        <v>88</v>
      </c>
      <c r="E15" s="101"/>
      <c r="F15" s="102" t="s">
        <v>113</v>
      </c>
      <c r="G15" s="103" t="s">
        <v>89</v>
      </c>
      <c r="H15" s="63"/>
      <c r="J15" s="69">
        <f t="shared" si="1"/>
        <v>9</v>
      </c>
      <c r="K15" s="70" t="s">
        <v>96</v>
      </c>
      <c r="L15" s="75"/>
      <c r="M15" s="76" t="s">
        <v>11</v>
      </c>
      <c r="N15" s="77"/>
      <c r="O15" s="104"/>
      <c r="P15" s="105" t="s">
        <v>113</v>
      </c>
      <c r="Q15" s="106" t="s">
        <v>95</v>
      </c>
    </row>
    <row r="16" spans="1:17" ht="21" customHeight="1">
      <c r="A16" s="69">
        <f t="shared" si="0"/>
        <v>10</v>
      </c>
      <c r="B16" s="70" t="s">
        <v>97</v>
      </c>
      <c r="C16" s="107">
        <v>0.375</v>
      </c>
      <c r="D16" s="108" t="s">
        <v>88</v>
      </c>
      <c r="E16" s="109">
        <v>0.70833333333333337</v>
      </c>
      <c r="F16" s="110" t="s">
        <v>114</v>
      </c>
      <c r="G16" s="103" t="s">
        <v>111</v>
      </c>
      <c r="H16" s="85" t="s">
        <v>115</v>
      </c>
      <c r="J16" s="69">
        <f t="shared" si="1"/>
        <v>10</v>
      </c>
      <c r="K16" s="70" t="s">
        <v>97</v>
      </c>
      <c r="L16" s="111">
        <v>0.375</v>
      </c>
      <c r="M16" s="76" t="s">
        <v>11</v>
      </c>
      <c r="N16" s="112">
        <v>0.70833333333333337</v>
      </c>
      <c r="O16" s="104" t="s">
        <v>116</v>
      </c>
      <c r="P16" s="105" t="s">
        <v>117</v>
      </c>
      <c r="Q16" s="105" t="s">
        <v>118</v>
      </c>
    </row>
    <row r="17" spans="1:17" ht="21" customHeight="1">
      <c r="A17" s="57">
        <f t="shared" si="0"/>
        <v>11</v>
      </c>
      <c r="B17" s="42" t="s">
        <v>98</v>
      </c>
      <c r="C17" s="86">
        <v>0.60416666666666663</v>
      </c>
      <c r="D17" s="87" t="s">
        <v>88</v>
      </c>
      <c r="E17" s="86">
        <v>0.70833333333333337</v>
      </c>
      <c r="F17" s="113" t="s">
        <v>99</v>
      </c>
      <c r="G17" s="62" t="s">
        <v>119</v>
      </c>
      <c r="H17" s="63" t="s">
        <v>109</v>
      </c>
      <c r="J17" s="57">
        <f t="shared" si="1"/>
        <v>11</v>
      </c>
      <c r="K17" s="42" t="s">
        <v>98</v>
      </c>
      <c r="L17" s="64">
        <v>0.60416666666666663</v>
      </c>
      <c r="M17" s="47" t="s">
        <v>11</v>
      </c>
      <c r="N17" s="89">
        <v>0.70833333333333337</v>
      </c>
      <c r="O17" s="66" t="s">
        <v>99</v>
      </c>
      <c r="P17" s="67" t="s">
        <v>102</v>
      </c>
      <c r="Q17" s="68" t="s">
        <v>95</v>
      </c>
    </row>
    <row r="18" spans="1:17" ht="21" customHeight="1">
      <c r="A18" s="57">
        <f t="shared" si="0"/>
        <v>12</v>
      </c>
      <c r="B18" s="42" t="s">
        <v>103</v>
      </c>
      <c r="C18" s="90" t="s">
        <v>104</v>
      </c>
      <c r="D18" s="91" t="s">
        <v>88</v>
      </c>
      <c r="E18" s="92" t="s">
        <v>104</v>
      </c>
      <c r="F18" s="93" t="s">
        <v>104</v>
      </c>
      <c r="G18" s="94" t="s">
        <v>120</v>
      </c>
      <c r="H18" s="114"/>
      <c r="J18" s="57">
        <f t="shared" si="1"/>
        <v>12</v>
      </c>
      <c r="K18" s="42" t="s">
        <v>103</v>
      </c>
      <c r="L18" s="95" t="s">
        <v>104</v>
      </c>
      <c r="M18" s="47" t="s">
        <v>11</v>
      </c>
      <c r="N18" s="96" t="s">
        <v>104</v>
      </c>
      <c r="O18" s="66" t="s">
        <v>104</v>
      </c>
      <c r="P18" s="67" t="s">
        <v>104</v>
      </c>
      <c r="Q18" s="68" t="s">
        <v>95</v>
      </c>
    </row>
    <row r="19" spans="1:17" ht="21" customHeight="1">
      <c r="A19" s="57">
        <f t="shared" si="0"/>
        <v>13</v>
      </c>
      <c r="B19" s="42" t="s">
        <v>107</v>
      </c>
      <c r="C19" s="97" t="s">
        <v>104</v>
      </c>
      <c r="D19" s="87" t="s">
        <v>88</v>
      </c>
      <c r="E19" s="97" t="s">
        <v>104</v>
      </c>
      <c r="F19" s="98" t="s">
        <v>104</v>
      </c>
      <c r="G19" s="94" t="s">
        <v>121</v>
      </c>
      <c r="H19" s="63" t="s">
        <v>122</v>
      </c>
      <c r="J19" s="57">
        <f t="shared" si="1"/>
        <v>13</v>
      </c>
      <c r="K19" s="42" t="s">
        <v>107</v>
      </c>
      <c r="L19" s="95" t="s">
        <v>104</v>
      </c>
      <c r="M19" s="47" t="s">
        <v>11</v>
      </c>
      <c r="N19" s="96" t="s">
        <v>104</v>
      </c>
      <c r="O19" s="66" t="s">
        <v>104</v>
      </c>
      <c r="P19" s="67" t="s">
        <v>104</v>
      </c>
      <c r="Q19" s="68" t="s">
        <v>95</v>
      </c>
    </row>
    <row r="20" spans="1:17" ht="21" customHeight="1">
      <c r="A20" s="57">
        <f t="shared" si="0"/>
        <v>14</v>
      </c>
      <c r="B20" s="42" t="s">
        <v>110</v>
      </c>
      <c r="C20" s="115">
        <v>0.64583333333333337</v>
      </c>
      <c r="D20" s="91" t="s">
        <v>88</v>
      </c>
      <c r="E20" s="116">
        <v>0.70833333333333337</v>
      </c>
      <c r="F20" s="93" t="s">
        <v>104</v>
      </c>
      <c r="G20" s="94" t="s">
        <v>121</v>
      </c>
      <c r="H20" s="63" t="s">
        <v>123</v>
      </c>
      <c r="J20" s="57">
        <f t="shared" si="1"/>
        <v>14</v>
      </c>
      <c r="K20" s="42" t="s">
        <v>110</v>
      </c>
      <c r="L20" s="117">
        <v>0.64583333333333337</v>
      </c>
      <c r="M20" s="47" t="s">
        <v>11</v>
      </c>
      <c r="N20" s="118">
        <v>0.70833333333333337</v>
      </c>
      <c r="O20" s="66" t="s">
        <v>104</v>
      </c>
      <c r="P20" s="67" t="s">
        <v>104</v>
      </c>
      <c r="Q20" s="68" t="s">
        <v>95</v>
      </c>
    </row>
    <row r="21" spans="1:17" ht="21" customHeight="1">
      <c r="A21" s="57">
        <f t="shared" si="0"/>
        <v>15</v>
      </c>
      <c r="B21" s="42" t="s">
        <v>94</v>
      </c>
      <c r="C21" s="86">
        <v>0.60416666666666663</v>
      </c>
      <c r="D21" s="87" t="s">
        <v>88</v>
      </c>
      <c r="E21" s="86">
        <v>0.70833333333333337</v>
      </c>
      <c r="F21" s="98" t="s">
        <v>104</v>
      </c>
      <c r="G21" s="94" t="s">
        <v>121</v>
      </c>
      <c r="H21" s="63"/>
      <c r="J21" s="57">
        <f t="shared" si="1"/>
        <v>15</v>
      </c>
      <c r="K21" s="42" t="s">
        <v>94</v>
      </c>
      <c r="L21" s="117">
        <v>0.60416666666666663</v>
      </c>
      <c r="M21" s="47" t="s">
        <v>11</v>
      </c>
      <c r="N21" s="118">
        <v>0.70833333333333337</v>
      </c>
      <c r="O21" s="66" t="s">
        <v>104</v>
      </c>
      <c r="P21" s="67" t="s">
        <v>104</v>
      </c>
      <c r="Q21" s="68" t="s">
        <v>95</v>
      </c>
    </row>
    <row r="22" spans="1:17" ht="21" customHeight="1">
      <c r="A22" s="69">
        <f t="shared" si="0"/>
        <v>16</v>
      </c>
      <c r="B22" s="70" t="s">
        <v>96</v>
      </c>
      <c r="C22" s="99"/>
      <c r="D22" s="100" t="s">
        <v>88</v>
      </c>
      <c r="E22" s="101"/>
      <c r="F22" s="119" t="s">
        <v>113</v>
      </c>
      <c r="G22" s="103" t="s">
        <v>89</v>
      </c>
      <c r="H22" s="63"/>
      <c r="J22" s="69">
        <f t="shared" si="1"/>
        <v>16</v>
      </c>
      <c r="K22" s="70" t="s">
        <v>96</v>
      </c>
      <c r="L22" s="75"/>
      <c r="M22" s="76" t="s">
        <v>11</v>
      </c>
      <c r="N22" s="77"/>
      <c r="O22" s="104"/>
      <c r="P22" s="105" t="s">
        <v>113</v>
      </c>
      <c r="Q22" s="106" t="s">
        <v>95</v>
      </c>
    </row>
    <row r="23" spans="1:17" ht="21" customHeight="1">
      <c r="A23" s="69">
        <f t="shared" si="0"/>
        <v>17</v>
      </c>
      <c r="B23" s="70" t="s">
        <v>97</v>
      </c>
      <c r="C23" s="109">
        <v>0.375</v>
      </c>
      <c r="D23" s="108" t="s">
        <v>88</v>
      </c>
      <c r="E23" s="109">
        <v>0.70833333333333337</v>
      </c>
      <c r="F23" s="120" t="s">
        <v>124</v>
      </c>
      <c r="G23" s="103" t="s">
        <v>121</v>
      </c>
      <c r="H23" s="85" t="s">
        <v>125</v>
      </c>
      <c r="J23" s="69">
        <f t="shared" si="1"/>
        <v>17</v>
      </c>
      <c r="K23" s="70" t="s">
        <v>97</v>
      </c>
      <c r="L23" s="111">
        <v>0.375</v>
      </c>
      <c r="M23" s="76" t="s">
        <v>11</v>
      </c>
      <c r="N23" s="112">
        <v>0.70833333333333337</v>
      </c>
      <c r="O23" s="104" t="s">
        <v>126</v>
      </c>
      <c r="P23" s="105" t="s">
        <v>127</v>
      </c>
      <c r="Q23" s="105" t="s">
        <v>128</v>
      </c>
    </row>
    <row r="24" spans="1:17" ht="21" customHeight="1">
      <c r="A24" s="57">
        <f t="shared" si="0"/>
        <v>18</v>
      </c>
      <c r="B24" s="42" t="s">
        <v>98</v>
      </c>
      <c r="C24" s="86">
        <v>0.60416666666666663</v>
      </c>
      <c r="D24" s="87" t="s">
        <v>88</v>
      </c>
      <c r="E24" s="86">
        <v>0.70833333333333337</v>
      </c>
      <c r="F24" s="113" t="s">
        <v>99</v>
      </c>
      <c r="G24" s="94" t="s">
        <v>129</v>
      </c>
      <c r="H24" s="63" t="s">
        <v>109</v>
      </c>
      <c r="J24" s="57">
        <f t="shared" si="1"/>
        <v>18</v>
      </c>
      <c r="K24" s="42" t="s">
        <v>98</v>
      </c>
      <c r="L24" s="64">
        <v>0.60416666666666663</v>
      </c>
      <c r="M24" s="47" t="s">
        <v>11</v>
      </c>
      <c r="N24" s="89">
        <v>0.70833333333333337</v>
      </c>
      <c r="O24" s="66" t="s">
        <v>99</v>
      </c>
      <c r="P24" s="67" t="s">
        <v>102</v>
      </c>
      <c r="Q24" s="68" t="s">
        <v>95</v>
      </c>
    </row>
    <row r="25" spans="1:17" ht="21" customHeight="1">
      <c r="A25" s="57">
        <f t="shared" si="0"/>
        <v>19</v>
      </c>
      <c r="B25" s="42" t="s">
        <v>103</v>
      </c>
      <c r="C25" s="90" t="s">
        <v>104</v>
      </c>
      <c r="D25" s="91" t="s">
        <v>88</v>
      </c>
      <c r="E25" s="92" t="s">
        <v>104</v>
      </c>
      <c r="F25" s="93" t="s">
        <v>104</v>
      </c>
      <c r="G25" s="94" t="s">
        <v>129</v>
      </c>
      <c r="H25" s="63" t="s">
        <v>130</v>
      </c>
      <c r="J25" s="57">
        <f t="shared" si="1"/>
        <v>19</v>
      </c>
      <c r="K25" s="42" t="s">
        <v>103</v>
      </c>
      <c r="L25" s="95" t="s">
        <v>104</v>
      </c>
      <c r="M25" s="47" t="s">
        <v>11</v>
      </c>
      <c r="N25" s="96" t="s">
        <v>104</v>
      </c>
      <c r="O25" s="66" t="s">
        <v>104</v>
      </c>
      <c r="P25" s="67" t="s">
        <v>104</v>
      </c>
      <c r="Q25" s="68" t="s">
        <v>95</v>
      </c>
    </row>
    <row r="26" spans="1:17" ht="21" customHeight="1">
      <c r="A26" s="57">
        <f t="shared" si="0"/>
        <v>20</v>
      </c>
      <c r="B26" s="42" t="s">
        <v>107</v>
      </c>
      <c r="C26" s="97" t="s">
        <v>104</v>
      </c>
      <c r="D26" s="87" t="s">
        <v>88</v>
      </c>
      <c r="E26" s="97" t="s">
        <v>104</v>
      </c>
      <c r="F26" s="98" t="s">
        <v>104</v>
      </c>
      <c r="G26" s="94" t="s">
        <v>129</v>
      </c>
      <c r="H26" s="63" t="s">
        <v>131</v>
      </c>
      <c r="J26" s="57">
        <f t="shared" si="1"/>
        <v>20</v>
      </c>
      <c r="K26" s="42" t="s">
        <v>107</v>
      </c>
      <c r="L26" s="95" t="s">
        <v>104</v>
      </c>
      <c r="M26" s="47" t="s">
        <v>11</v>
      </c>
      <c r="N26" s="96" t="s">
        <v>104</v>
      </c>
      <c r="O26" s="66" t="s">
        <v>104</v>
      </c>
      <c r="P26" s="67" t="s">
        <v>104</v>
      </c>
      <c r="Q26" s="68" t="s">
        <v>95</v>
      </c>
    </row>
    <row r="27" spans="1:17" ht="21" customHeight="1">
      <c r="A27" s="57">
        <f t="shared" si="0"/>
        <v>21</v>
      </c>
      <c r="B27" s="42" t="s">
        <v>110</v>
      </c>
      <c r="C27" s="90" t="s">
        <v>104</v>
      </c>
      <c r="D27" s="91" t="s">
        <v>88</v>
      </c>
      <c r="E27" s="92" t="s">
        <v>104</v>
      </c>
      <c r="F27" s="93" t="s">
        <v>104</v>
      </c>
      <c r="G27" s="94" t="s">
        <v>120</v>
      </c>
      <c r="H27" s="63"/>
      <c r="J27" s="57">
        <f t="shared" si="1"/>
        <v>21</v>
      </c>
      <c r="K27" s="42" t="s">
        <v>110</v>
      </c>
      <c r="L27" s="95" t="s">
        <v>104</v>
      </c>
      <c r="M27" s="47" t="s">
        <v>11</v>
      </c>
      <c r="N27" s="96" t="s">
        <v>104</v>
      </c>
      <c r="O27" s="66" t="s">
        <v>104</v>
      </c>
      <c r="P27" s="67" t="s">
        <v>104</v>
      </c>
      <c r="Q27" s="68" t="s">
        <v>95</v>
      </c>
    </row>
    <row r="28" spans="1:17" ht="21" customHeight="1">
      <c r="A28" s="57">
        <f t="shared" si="0"/>
        <v>22</v>
      </c>
      <c r="B28" s="42" t="s">
        <v>94</v>
      </c>
      <c r="C28" s="97" t="s">
        <v>104</v>
      </c>
      <c r="D28" s="87" t="s">
        <v>88</v>
      </c>
      <c r="E28" s="97" t="s">
        <v>104</v>
      </c>
      <c r="F28" s="98" t="s">
        <v>104</v>
      </c>
      <c r="G28" s="94" t="s">
        <v>121</v>
      </c>
      <c r="H28" s="63"/>
      <c r="J28" s="57">
        <f t="shared" si="1"/>
        <v>22</v>
      </c>
      <c r="K28" s="42" t="s">
        <v>94</v>
      </c>
      <c r="L28" s="95" t="s">
        <v>104</v>
      </c>
      <c r="M28" s="47" t="s">
        <v>11</v>
      </c>
      <c r="N28" s="96" t="s">
        <v>104</v>
      </c>
      <c r="O28" s="66" t="s">
        <v>104</v>
      </c>
      <c r="P28" s="67" t="s">
        <v>104</v>
      </c>
      <c r="Q28" s="68" t="s">
        <v>95</v>
      </c>
    </row>
    <row r="29" spans="1:17" ht="21" customHeight="1">
      <c r="A29" s="69">
        <f t="shared" si="0"/>
        <v>23</v>
      </c>
      <c r="B29" s="70" t="s">
        <v>96</v>
      </c>
      <c r="C29" s="99"/>
      <c r="D29" s="100" t="s">
        <v>88</v>
      </c>
      <c r="E29" s="101"/>
      <c r="F29" s="119" t="s">
        <v>113</v>
      </c>
      <c r="G29" s="103" t="s">
        <v>89</v>
      </c>
      <c r="H29" s="63"/>
      <c r="J29" s="69">
        <f t="shared" si="1"/>
        <v>23</v>
      </c>
      <c r="K29" s="70" t="s">
        <v>96</v>
      </c>
      <c r="L29" s="75"/>
      <c r="M29" s="76" t="s">
        <v>11</v>
      </c>
      <c r="N29" s="77"/>
      <c r="O29" s="104"/>
      <c r="P29" s="105" t="s">
        <v>113</v>
      </c>
      <c r="Q29" s="80" t="s">
        <v>95</v>
      </c>
    </row>
    <row r="30" spans="1:17" ht="21" customHeight="1">
      <c r="A30" s="69">
        <f t="shared" si="0"/>
        <v>24</v>
      </c>
      <c r="B30" s="70" t="s">
        <v>97</v>
      </c>
      <c r="C30" s="109">
        <v>0.375</v>
      </c>
      <c r="D30" s="108" t="s">
        <v>88</v>
      </c>
      <c r="E30" s="109">
        <v>0.70833333333333337</v>
      </c>
      <c r="F30" s="121" t="s">
        <v>132</v>
      </c>
      <c r="G30" s="103" t="s">
        <v>121</v>
      </c>
      <c r="H30" s="85" t="s">
        <v>133</v>
      </c>
      <c r="J30" s="69">
        <f t="shared" si="1"/>
        <v>24</v>
      </c>
      <c r="K30" s="70" t="s">
        <v>97</v>
      </c>
      <c r="L30" s="111">
        <v>0.375</v>
      </c>
      <c r="M30" s="76" t="s">
        <v>11</v>
      </c>
      <c r="N30" s="112">
        <v>0.70833333333333337</v>
      </c>
      <c r="O30" s="104" t="s">
        <v>134</v>
      </c>
      <c r="P30" s="105" t="s">
        <v>135</v>
      </c>
      <c r="Q30" s="105" t="s">
        <v>136</v>
      </c>
    </row>
    <row r="31" spans="1:17" ht="21" customHeight="1">
      <c r="A31" s="57">
        <f t="shared" si="0"/>
        <v>25</v>
      </c>
      <c r="B31" s="42" t="s">
        <v>98</v>
      </c>
      <c r="C31" s="86">
        <v>0.60416666666666663</v>
      </c>
      <c r="D31" s="87" t="s">
        <v>88</v>
      </c>
      <c r="E31" s="86">
        <v>0.70833333333333337</v>
      </c>
      <c r="F31" s="113" t="s">
        <v>99</v>
      </c>
      <c r="G31" s="62" t="s">
        <v>129</v>
      </c>
      <c r="H31" s="63" t="s">
        <v>109</v>
      </c>
      <c r="J31" s="57">
        <f t="shared" si="1"/>
        <v>25</v>
      </c>
      <c r="K31" s="42" t="s">
        <v>98</v>
      </c>
      <c r="L31" s="64">
        <v>0.60416666666666663</v>
      </c>
      <c r="M31" s="47" t="s">
        <v>11</v>
      </c>
      <c r="N31" s="89">
        <v>0.70833333333333337</v>
      </c>
      <c r="O31" s="66" t="s">
        <v>99</v>
      </c>
      <c r="P31" s="67" t="s">
        <v>102</v>
      </c>
      <c r="Q31" s="68" t="s">
        <v>95</v>
      </c>
    </row>
    <row r="32" spans="1:17" ht="21" customHeight="1">
      <c r="A32" s="57">
        <f t="shared" si="0"/>
        <v>26</v>
      </c>
      <c r="B32" s="42" t="s">
        <v>103</v>
      </c>
      <c r="C32" s="90" t="s">
        <v>104</v>
      </c>
      <c r="D32" s="91" t="s">
        <v>88</v>
      </c>
      <c r="E32" s="92" t="s">
        <v>104</v>
      </c>
      <c r="F32" s="93" t="s">
        <v>104</v>
      </c>
      <c r="G32" s="94" t="s">
        <v>121</v>
      </c>
      <c r="H32" s="63"/>
      <c r="J32" s="57">
        <f t="shared" si="1"/>
        <v>26</v>
      </c>
      <c r="K32" s="42" t="s">
        <v>103</v>
      </c>
      <c r="L32" s="95" t="s">
        <v>104</v>
      </c>
      <c r="M32" s="47" t="s">
        <v>11</v>
      </c>
      <c r="N32" s="96" t="s">
        <v>104</v>
      </c>
      <c r="O32" s="66" t="s">
        <v>104</v>
      </c>
      <c r="P32" s="67" t="s">
        <v>104</v>
      </c>
      <c r="Q32" s="68" t="s">
        <v>95</v>
      </c>
    </row>
    <row r="33" spans="1:17" ht="21" customHeight="1">
      <c r="A33" s="57">
        <f t="shared" si="0"/>
        <v>27</v>
      </c>
      <c r="B33" s="42" t="s">
        <v>107</v>
      </c>
      <c r="C33" s="97" t="s">
        <v>104</v>
      </c>
      <c r="D33" s="87" t="s">
        <v>88</v>
      </c>
      <c r="E33" s="97" t="s">
        <v>104</v>
      </c>
      <c r="F33" s="98" t="s">
        <v>104</v>
      </c>
      <c r="G33" s="94" t="s">
        <v>121</v>
      </c>
      <c r="H33" s="63"/>
      <c r="J33" s="57">
        <f t="shared" si="1"/>
        <v>27</v>
      </c>
      <c r="K33" s="42" t="s">
        <v>107</v>
      </c>
      <c r="L33" s="95" t="s">
        <v>104</v>
      </c>
      <c r="M33" s="47" t="s">
        <v>11</v>
      </c>
      <c r="N33" s="96" t="s">
        <v>104</v>
      </c>
      <c r="O33" s="66" t="s">
        <v>104</v>
      </c>
      <c r="P33" s="67" t="s">
        <v>104</v>
      </c>
      <c r="Q33" s="68" t="s">
        <v>95</v>
      </c>
    </row>
    <row r="34" spans="1:17" ht="21" customHeight="1">
      <c r="A34" s="57">
        <f t="shared" si="0"/>
        <v>28</v>
      </c>
      <c r="B34" s="42" t="s">
        <v>110</v>
      </c>
      <c r="C34" s="90" t="s">
        <v>104</v>
      </c>
      <c r="D34" s="91" t="s">
        <v>88</v>
      </c>
      <c r="E34" s="92" t="s">
        <v>104</v>
      </c>
      <c r="F34" s="93" t="s">
        <v>104</v>
      </c>
      <c r="G34" s="62" t="s">
        <v>129</v>
      </c>
      <c r="H34" s="63"/>
      <c r="J34" s="57">
        <f t="shared" si="1"/>
        <v>28</v>
      </c>
      <c r="K34" s="42" t="s">
        <v>110</v>
      </c>
      <c r="L34" s="95" t="s">
        <v>104</v>
      </c>
      <c r="M34" s="47" t="s">
        <v>11</v>
      </c>
      <c r="N34" s="96" t="s">
        <v>104</v>
      </c>
      <c r="O34" s="66" t="s">
        <v>104</v>
      </c>
      <c r="P34" s="67" t="s">
        <v>104</v>
      </c>
      <c r="Q34" s="68" t="s">
        <v>95</v>
      </c>
    </row>
    <row r="35" spans="1:17" ht="21" customHeight="1">
      <c r="A35" s="122">
        <f t="shared" si="0"/>
        <v>29</v>
      </c>
      <c r="B35" s="123" t="s">
        <v>94</v>
      </c>
      <c r="C35" s="86">
        <v>0.375</v>
      </c>
      <c r="D35" s="87" t="s">
        <v>88</v>
      </c>
      <c r="E35" s="86">
        <v>0.70833333333333337</v>
      </c>
      <c r="F35" s="98" t="s">
        <v>104</v>
      </c>
      <c r="G35" s="124" t="s">
        <v>121</v>
      </c>
      <c r="H35" s="63"/>
      <c r="J35" s="57">
        <f t="shared" si="1"/>
        <v>29</v>
      </c>
      <c r="K35" s="42" t="s">
        <v>94</v>
      </c>
      <c r="L35" s="117">
        <v>0.375</v>
      </c>
      <c r="M35" s="47" t="s">
        <v>11</v>
      </c>
      <c r="N35" s="118">
        <v>0.70833333333333337</v>
      </c>
      <c r="O35" s="66" t="s">
        <v>104</v>
      </c>
      <c r="P35" s="67" t="s">
        <v>104</v>
      </c>
      <c r="Q35" s="67" t="s">
        <v>137</v>
      </c>
    </row>
    <row r="36" spans="1:17" ht="21" customHeight="1">
      <c r="A36" s="69">
        <f t="shared" si="0"/>
        <v>30</v>
      </c>
      <c r="B36" s="70" t="s">
        <v>96</v>
      </c>
      <c r="C36" s="99"/>
      <c r="D36" s="100" t="s">
        <v>88</v>
      </c>
      <c r="E36" s="101"/>
      <c r="F36" s="84" t="s">
        <v>113</v>
      </c>
      <c r="G36" s="125" t="s">
        <v>89</v>
      </c>
      <c r="H36" s="85" t="s">
        <v>138</v>
      </c>
      <c r="I36" s="114"/>
      <c r="J36" s="69">
        <f t="shared" si="1"/>
        <v>30</v>
      </c>
      <c r="K36" s="70" t="s">
        <v>96</v>
      </c>
      <c r="L36" s="75"/>
      <c r="M36" s="76" t="s">
        <v>11</v>
      </c>
      <c r="N36" s="77"/>
      <c r="O36" s="78"/>
      <c r="P36" s="79" t="s">
        <v>113</v>
      </c>
      <c r="Q36" s="80" t="s">
        <v>95</v>
      </c>
    </row>
    <row r="37" spans="1:17" ht="75" customHeight="1">
      <c r="A37" s="154" t="s">
        <v>90</v>
      </c>
      <c r="B37" s="155"/>
      <c r="C37" s="155"/>
      <c r="D37" s="155"/>
      <c r="E37" s="155"/>
      <c r="F37" s="155"/>
      <c r="G37" s="155"/>
      <c r="H37" s="155"/>
      <c r="I37" s="155"/>
      <c r="J37" s="154" t="s">
        <v>139</v>
      </c>
      <c r="K37" s="155"/>
      <c r="L37" s="155"/>
      <c r="M37" s="155"/>
      <c r="N37" s="155"/>
      <c r="O37" s="155"/>
      <c r="P37" s="155"/>
      <c r="Q37" s="155"/>
    </row>
    <row r="38" spans="1:17">
      <c r="J38" s="22"/>
      <c r="M38" s="2"/>
      <c r="Q38" s="126"/>
    </row>
    <row r="39" spans="1:17">
      <c r="M39" s="2"/>
      <c r="Q39" s="126"/>
    </row>
    <row r="40" spans="1:17">
      <c r="M40" s="2"/>
      <c r="Q40" s="126"/>
    </row>
    <row r="41" spans="1:17">
      <c r="M41" s="2"/>
    </row>
    <row r="42" spans="1:17">
      <c r="M42" s="2"/>
    </row>
  </sheetData>
  <mergeCells count="8">
    <mergeCell ref="A1:H1"/>
    <mergeCell ref="A37:I37"/>
    <mergeCell ref="J5:Q5"/>
    <mergeCell ref="J1:Q1"/>
    <mergeCell ref="A5:H5"/>
    <mergeCell ref="L6:N6"/>
    <mergeCell ref="J37:Q37"/>
    <mergeCell ref="C6:E6"/>
  </mergeCells>
  <phoneticPr fontId="2"/>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61"/>
  <sheetViews>
    <sheetView workbookViewId="0">
      <selection activeCell="C15" sqref="C15"/>
    </sheetView>
  </sheetViews>
  <sheetFormatPr defaultColWidth="7.6328125" defaultRowHeight="19.8"/>
  <cols>
    <col min="1" max="1" width="74.6328125" style="127" customWidth="1"/>
    <col min="2" max="2" width="7.6328125" style="127" customWidth="1"/>
    <col min="3" max="16384" width="7.6328125" style="127"/>
  </cols>
  <sheetData>
    <row r="1" spans="1:1" ht="21" customHeight="1">
      <c r="A1" s="127" t="s">
        <v>140</v>
      </c>
    </row>
    <row r="2" spans="1:1" ht="6.75" customHeight="1"/>
    <row r="3" spans="1:1" ht="21" customHeight="1">
      <c r="A3" s="128" t="s">
        <v>141</v>
      </c>
    </row>
    <row r="4" spans="1:1" ht="7.5" customHeight="1"/>
    <row r="5" spans="1:1" ht="21" customHeight="1">
      <c r="A5" s="127" t="s">
        <v>142</v>
      </c>
    </row>
    <row r="6" spans="1:1" ht="8.25" customHeight="1"/>
    <row r="7" spans="1:1" ht="63" customHeight="1">
      <c r="A7" s="127" t="s">
        <v>143</v>
      </c>
    </row>
    <row r="8" spans="1:1" ht="6.75" customHeight="1"/>
    <row r="9" spans="1:1" ht="21" customHeight="1">
      <c r="A9" s="127" t="s">
        <v>144</v>
      </c>
    </row>
    <row r="10" spans="1:1" ht="21" customHeight="1">
      <c r="A10" s="127" t="s">
        <v>145</v>
      </c>
    </row>
    <row r="11" spans="1:1" ht="21" customHeight="1">
      <c r="A11" s="127" t="s">
        <v>146</v>
      </c>
    </row>
    <row r="12" spans="1:1" ht="21" customHeight="1">
      <c r="A12" s="127" t="s">
        <v>147</v>
      </c>
    </row>
    <row r="13" spans="1:1" ht="21" customHeight="1">
      <c r="A13" s="127" t="s">
        <v>148</v>
      </c>
    </row>
    <row r="14" spans="1:1" ht="21" customHeight="1">
      <c r="A14" s="127" t="s">
        <v>149</v>
      </c>
    </row>
    <row r="15" spans="1:1" ht="42" customHeight="1">
      <c r="A15" s="127" t="s">
        <v>150</v>
      </c>
    </row>
    <row r="16" spans="1:1" ht="21" customHeight="1">
      <c r="A16" s="127" t="s">
        <v>151</v>
      </c>
    </row>
    <row r="17" spans="1:1" ht="21" customHeight="1">
      <c r="A17" s="127" t="s">
        <v>152</v>
      </c>
    </row>
    <row r="18" spans="1:1" ht="21" customHeight="1">
      <c r="A18" s="127" t="s">
        <v>153</v>
      </c>
    </row>
    <row r="19" spans="1:1" ht="21" customHeight="1">
      <c r="A19" s="127" t="s">
        <v>154</v>
      </c>
    </row>
    <row r="20" spans="1:1" ht="21" customHeight="1">
      <c r="A20" s="127" t="s">
        <v>155</v>
      </c>
    </row>
    <row r="21" spans="1:1" ht="21" customHeight="1">
      <c r="A21" s="127" t="s">
        <v>156</v>
      </c>
    </row>
    <row r="22" spans="1:1" ht="21" customHeight="1">
      <c r="A22" s="127" t="s">
        <v>157</v>
      </c>
    </row>
    <row r="23" spans="1:1" ht="21" customHeight="1">
      <c r="A23" s="127" t="s">
        <v>158</v>
      </c>
    </row>
    <row r="24" spans="1:1" ht="21" customHeight="1">
      <c r="A24" s="127" t="s">
        <v>159</v>
      </c>
    </row>
    <row r="25" spans="1:1" ht="21" customHeight="1">
      <c r="A25" s="127" t="s">
        <v>160</v>
      </c>
    </row>
    <row r="26" spans="1:1" ht="21" customHeight="1">
      <c r="A26" s="127" t="s">
        <v>161</v>
      </c>
    </row>
    <row r="27" spans="1:1" ht="21" customHeight="1">
      <c r="A27" s="127" t="s">
        <v>162</v>
      </c>
    </row>
    <row r="28" spans="1:1" ht="21" customHeight="1">
      <c r="A28" s="127" t="s">
        <v>163</v>
      </c>
    </row>
    <row r="29" spans="1:1" ht="21" customHeight="1">
      <c r="A29" s="127" t="s">
        <v>164</v>
      </c>
    </row>
    <row r="30" spans="1:1" ht="21" customHeight="1">
      <c r="A30" s="127" t="s">
        <v>165</v>
      </c>
    </row>
    <row r="31" spans="1:1" ht="21" customHeight="1">
      <c r="A31" s="127" t="s">
        <v>166</v>
      </c>
    </row>
    <row r="32" spans="1:1" ht="21" customHeight="1">
      <c r="A32" s="127" t="s">
        <v>167</v>
      </c>
    </row>
    <row r="33" spans="1:1" ht="21" customHeight="1">
      <c r="A33" s="127" t="s">
        <v>168</v>
      </c>
    </row>
    <row r="34" spans="1:1" ht="42" customHeight="1">
      <c r="A34" s="127" t="s">
        <v>169</v>
      </c>
    </row>
    <row r="36" spans="1:1" ht="8.25" customHeight="1"/>
    <row r="37" spans="1:1" ht="21" customHeight="1">
      <c r="A37" s="127" t="s">
        <v>170</v>
      </c>
    </row>
    <row r="38" spans="1:1" ht="21" customHeight="1">
      <c r="A38" s="127" t="s">
        <v>171</v>
      </c>
    </row>
    <row r="39" spans="1:1" ht="21" customHeight="1">
      <c r="A39" s="127" t="s">
        <v>172</v>
      </c>
    </row>
    <row r="40" spans="1:1" ht="21" customHeight="1">
      <c r="A40" s="127" t="s">
        <v>148</v>
      </c>
    </row>
    <row r="41" spans="1:1" ht="21" customHeight="1">
      <c r="A41" s="127" t="s">
        <v>173</v>
      </c>
    </row>
    <row r="42" spans="1:1" ht="21" customHeight="1">
      <c r="A42" s="127" t="s">
        <v>174</v>
      </c>
    </row>
    <row r="43" spans="1:1" ht="21" customHeight="1">
      <c r="A43" s="127" t="s">
        <v>164</v>
      </c>
    </row>
    <row r="44" spans="1:1" ht="21" customHeight="1">
      <c r="A44" s="127" t="s">
        <v>175</v>
      </c>
    </row>
    <row r="45" spans="1:1" ht="21" customHeight="1">
      <c r="A45" s="127" t="s">
        <v>176</v>
      </c>
    </row>
    <row r="46" spans="1:1" ht="21" customHeight="1">
      <c r="A46" s="127" t="s">
        <v>177</v>
      </c>
    </row>
    <row r="47" spans="1:1" ht="21" customHeight="1">
      <c r="A47" s="127" t="s">
        <v>178</v>
      </c>
    </row>
    <row r="48" spans="1:1" ht="21" customHeight="1">
      <c r="A48" s="127" t="s">
        <v>179</v>
      </c>
    </row>
    <row r="49" spans="1:1" ht="21" customHeight="1">
      <c r="A49" s="127" t="s">
        <v>180</v>
      </c>
    </row>
    <row r="50" spans="1:1" ht="21" customHeight="1">
      <c r="A50" s="127" t="s">
        <v>181</v>
      </c>
    </row>
    <row r="51" spans="1:1" ht="21" customHeight="1">
      <c r="A51" s="127" t="s">
        <v>182</v>
      </c>
    </row>
    <row r="52" spans="1:1" ht="21" customHeight="1">
      <c r="A52" s="127" t="s">
        <v>183</v>
      </c>
    </row>
    <row r="53" spans="1:1" ht="21" customHeight="1">
      <c r="A53" s="127" t="s">
        <v>184</v>
      </c>
    </row>
    <row r="55" spans="1:1" ht="21" customHeight="1">
      <c r="A55" s="127" t="s">
        <v>185</v>
      </c>
    </row>
    <row r="56" spans="1:1" ht="84" customHeight="1">
      <c r="A56" s="127" t="s">
        <v>186</v>
      </c>
    </row>
    <row r="57" spans="1:1" ht="42" customHeight="1">
      <c r="A57" s="127" t="s">
        <v>187</v>
      </c>
    </row>
    <row r="58" spans="1:1" ht="21" customHeight="1">
      <c r="A58" s="127" t="s">
        <v>188</v>
      </c>
    </row>
    <row r="59" spans="1:1" ht="8.25" customHeight="1"/>
    <row r="60" spans="1:1" ht="21" customHeight="1">
      <c r="A60" s="127" t="s">
        <v>189</v>
      </c>
    </row>
    <row r="61" spans="1:1" ht="42" customHeight="1">
      <c r="A61" s="127" t="s">
        <v>190</v>
      </c>
    </row>
  </sheetData>
  <phoneticPr fontId="2"/>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活動計画書</vt:lpstr>
      <vt:lpstr>活動延長願</vt:lpstr>
      <vt:lpstr>活動報告書</vt:lpstr>
      <vt:lpstr>見本</vt:lpstr>
      <vt:lpstr>記載要項</vt:lpstr>
      <vt:lpstr>活動計画書!Print_Area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村上 力_一関高専</dc:creator>
  <cp:lastModifiedBy>４Ｊ-２３ f22092_一関高専</cp:lastModifiedBy>
  <dcterms:created xsi:type="dcterms:W3CDTF">2024-04-19T04:14:06Z</dcterms:created>
  <dcterms:modified xsi:type="dcterms:W3CDTF">2025-11-16T10:58:50Z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0x010100B9EBC9BBEFBD3B4998179846134D1681</vt:lpwstr>
  </property>
  <property fmtid="{D5CDD505-2E9C-101B-9397-08002B2CF9AE}" pid="3" name="MediaServiceImageTags">
    <vt:lpwstr/>
  </property>
</Properties>
</file>